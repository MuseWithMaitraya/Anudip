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319756E9-64B1-4C53-A248-46703ED3AE94}" xr6:coauthVersionLast="47" xr6:coauthVersionMax="47" xr10:uidLastSave="{00000000-0000-0000-0000-000000000000}"/>
  <bookViews>
    <workbookView xWindow="-108" yWindow="-108" windowWidth="23256" windowHeight="12456" xr2:uid="{7E0999C7-744C-418C-8432-3B3216621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<sst xmlns="http://schemas.openxmlformats.org/spreadsheetml/2006/main" count="3524" uniqueCount="78">
  <si>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</si>
  <si>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</si>
  <si>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</si>
  <si>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</si>
  <si>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</si>
  <si>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</si>
  <si>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</si>
  <si>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</si>
  <si>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</si>
  <si>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</si>
  <si>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</si>
  <si>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</si>
  <si>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</si>
  <si>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</si>
  <si>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</si>
  <si>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</si>
  <si>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</si>
  <si>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</si>
  <si>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</si>
  <si>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</si>
  <si>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</si>
  <si>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</si>
  <si>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</si>
  <si>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</si>
  <si>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</si>
  <si>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</si>
  <si>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</si>
  <si>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</si>
  <si>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</si>
  <si>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</si>
  <si>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</si>
  <si>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</si>
  <si>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</si>
  <si>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</si>
  <si>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</si>
  <si>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</si>
  <si>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</si>
  <si>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</si>
  <si>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</si>
  <si>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</si>
  <si>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</si>
  <si>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</si>
  <si>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</si>
  <si>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</si>
  <si>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</si>
  <si>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</si>
  <si>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</si>
  <si>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</si>
  <si>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</si>
  <si>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</si>
  <si>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</si>
  <si>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</si>
  <si>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</si>
  <si>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</si>
  <si>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</si>
  <si>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</si>
  <si>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</si>
  <si>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</si>
  <si>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</si>
  <si>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</si>
  <si>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</si>
  <si>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</si>
  <si>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</si>
  <si>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</si>
  <si>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</si>
  <si>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</si>
  <si>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</si>
  <si>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</si>
  <si>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</si>
  <si>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</si>
  <si>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</si>
  <si>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High Value Order</t>
  </si>
  <si>
    <t>Bulk Order</t>
  </si>
  <si>
    <t>Priority Channel</t>
  </si>
  <si>
    <t>Sale Status</t>
  </si>
  <si>
    <t>Website Order</t>
  </si>
  <si>
    <t>Category</t>
  </si>
  <si>
    <t>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</si>
</sst>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1D2-3164-4E69-BDC0-7A9D1A3E568C}">
  <dimension ref="A1:X501"/>
  <sheetViews>
    <sheetView tabSelected="1" topLeftCell="K1" workbookViewId="0">
      <selection activeCell="Z5" sqref="Z5"/>
    </sheetView>
  </sheetViews>
  <sheetFormatPr defaultRowHeight="14.4" x14ac:dyDescent="0.3"/>
  <cols>
    <col min="1" max="1" width="8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5.33203125" bestFit="1" customWidth="1"/>
    <col min="18" max="18" width="9.88671875" bestFit="1" customWidth="1"/>
    <col min="19" max="19" width="14.5546875" bestFit="1" customWidth="1"/>
    <col min="20" max="20" width="14.88671875" bestFit="1" customWidth="1"/>
    <col min="21" max="22" width="13.109375" bestFit="1" customWidth="1"/>
    <col min="24" max="24" width="18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71</v>
      </c>
      <c r="R1" s="4" t="s">
        <v>72</v>
      </c>
      <c r="S1" s="4" t="s">
        <v>73</v>
      </c>
      <c r="T1" s="4" t="s">
        <v>74</v>
      </c>
      <c r="U1" s="4" t="s">
        <v>75</v>
      </c>
      <c r="V1" s="4" t="s">
        <v>75</v>
      </c>
      <c r="W1" s="4" t="s">
        <v>76</v>
      </c>
      <c r="X1" s="4" t="s">
        <v>77</v>
      </c>
    </row>
    <row r="2" spans="1:24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  <c r="Q2" s="2" t="str">
        <f>IF(AND(L2&gt;=5,O2&gt;=10000),"Yes","No")</f>
        <v>Yes</v>
      </c>
      <c r="R2" s="2" t="str">
        <f>IF(AND(L2&gt;=8,N2&gt;=10),"Yes","No")</f>
        <v>No</v>
      </c>
      <c r="S2" s="2" t="str">
        <f>IF(OR(G2="Website",G2="Mobile App"),"Yes","No")</f>
        <v>Yes</v>
      </c>
      <c r="T2" s="2" t="str">
        <f>IF(AND(L2&lt;3,O2&lt;=1000),"Special Attention","Normal")</f>
        <v>Normal</v>
      </c>
      <c r="U2" s="2" t="str">
        <f>IF(NOT(G2="Website"),"No","Yes")</f>
        <v>No</v>
      </c>
      <c r="V2" s="2" t="str">
        <f>IF((G2&lt;&gt;"Website"), "No","Yes")</f>
        <v>No</v>
      </c>
      <c r="W2" s="2" t="str">
        <f>IF(AND(O2&gt;15000,OR(I2="Electronics",I2="Beauty")),"Premium","Regular")</f>
        <v>Regular</v>
      </c>
      <c r="X2" s="2" t="str">
        <f>IF(AND(L2&gt;=8,NOT(N2=0)),"Non Discounted Bulk","Discounted Bulk")</f>
        <v>Discounted Bulk</v>
      </c>
    </row>
    <row r="3" spans="1:24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Q3" s="2" t="str">
        <f t="shared" ref="Q3:Q66" si="1">IF(AND(L3&gt;=5,O3&gt;=10000),"Yes","No")</f>
        <v>Yes</v>
      </c>
      <c r="R3" s="2" t="str">
        <f t="shared" ref="R3:R66" si="2">IF(AND(L3&gt;=8,N3&gt;=10),"Yes","No")</f>
        <v>No</v>
      </c>
      <c r="S3" s="2" t="str">
        <f t="shared" ref="S3:S66" si="3">IF(OR(G3="Website",G3="Mobile App"),"Yes","No")</f>
        <v>Yes</v>
      </c>
      <c r="T3" s="2" t="str">
        <f t="shared" ref="T3:T66" si="4">IF(AND(L3&lt;3,O3&lt;=1000),"Special Attention","Normal")</f>
        <v>Normal</v>
      </c>
      <c r="U3" s="2" t="str">
        <f t="shared" ref="U3:U66" si="5">IF(NOT(G3="Website"),"No","Yes")</f>
        <v>Yes</v>
      </c>
      <c r="V3" s="2" t="str">
        <f t="shared" ref="V3:V66" si="6">IF((G3&lt;&gt;"Website"), "No","Yes")</f>
        <v>Yes</v>
      </c>
      <c r="W3" s="2" t="str">
        <f t="shared" ref="W3:W66" si="7">IF(AND(O3&gt;15000,OR(I3="Electronics",I3="Beauty")),"Premium","Regular")</f>
        <v>Regular</v>
      </c>
      <c r="X3" s="2" t="str">
        <f t="shared" ref="X3:X66" si="8">IF(AND(L3&gt;=8,NOT(N3=0)),"Non Discounted Bulk","Discounted Bulk")</f>
        <v>Non Discounted Bulk</v>
      </c>
    </row>
    <row r="4" spans="1:24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16</v>
      </c>
      <c r="F4" s="2" t="s">
        <v>30</v>
      </c>
      <c r="G4" s="2" t="s">
        <v>31</v>
      </c>
      <c r="H4" s="2" t="s">
        <v>26</v>
      </c>
      <c r="I4" s="2" t="s">
        <v>32</v>
      </c>
      <c r="J4" s="2" t="s">
        <v>33</v>
      </c>
      <c r="K4" s="2" t="s">
        <v>34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Q4" s="2" t="str">
        <f t="shared" si="1"/>
        <v>Yes</v>
      </c>
      <c r="R4" s="2" t="str">
        <f t="shared" si="2"/>
        <v>No</v>
      </c>
      <c r="S4" s="2" t="str">
        <f t="shared" si="3"/>
        <v>No</v>
      </c>
      <c r="T4" s="2" t="str">
        <f t="shared" si="4"/>
        <v>Normal</v>
      </c>
      <c r="U4" s="2" t="str">
        <f t="shared" si="5"/>
        <v>No</v>
      </c>
      <c r="V4" s="2" t="str">
        <f t="shared" si="6"/>
        <v>No</v>
      </c>
      <c r="W4" s="2" t="str">
        <f t="shared" si="7"/>
        <v>Regular</v>
      </c>
      <c r="X4" s="2" t="str">
        <f t="shared" si="8"/>
        <v>Discounted Bulk</v>
      </c>
    </row>
    <row r="5" spans="1:24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35</v>
      </c>
      <c r="F5" s="2" t="s">
        <v>30</v>
      </c>
      <c r="G5" s="2" t="s">
        <v>25</v>
      </c>
      <c r="H5" s="2" t="s">
        <v>36</v>
      </c>
      <c r="I5" s="2" t="s">
        <v>27</v>
      </c>
      <c r="J5" s="2" t="s">
        <v>37</v>
      </c>
      <c r="K5" s="2" t="s">
        <v>22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Q5" s="2" t="str">
        <f t="shared" si="1"/>
        <v>No</v>
      </c>
      <c r="R5" s="2" t="str">
        <f t="shared" si="2"/>
        <v>No</v>
      </c>
      <c r="S5" s="2" t="str">
        <f t="shared" si="3"/>
        <v>Yes</v>
      </c>
      <c r="T5" s="2" t="str">
        <f t="shared" si="4"/>
        <v>Special Attention</v>
      </c>
      <c r="U5" s="2" t="str">
        <f t="shared" si="5"/>
        <v>Yes</v>
      </c>
      <c r="V5" s="2" t="str">
        <f t="shared" si="6"/>
        <v>Yes</v>
      </c>
      <c r="W5" s="2" t="str">
        <f t="shared" si="7"/>
        <v>Regular</v>
      </c>
      <c r="X5" s="2" t="str">
        <f t="shared" si="8"/>
        <v>Discounted Bulk</v>
      </c>
    </row>
    <row r="6" spans="1:24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38</v>
      </c>
      <c r="F6" s="2" t="s">
        <v>39</v>
      </c>
      <c r="G6" s="2" t="s">
        <v>31</v>
      </c>
      <c r="H6" s="2" t="s">
        <v>19</v>
      </c>
      <c r="I6" s="2" t="s">
        <v>32</v>
      </c>
      <c r="J6" s="2" t="s">
        <v>40</v>
      </c>
      <c r="K6" s="2" t="s">
        <v>22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Q6" s="2" t="str">
        <f t="shared" si="1"/>
        <v>Yes</v>
      </c>
      <c r="R6" s="2" t="str">
        <f t="shared" si="2"/>
        <v>No</v>
      </c>
      <c r="S6" s="2" t="str">
        <f t="shared" si="3"/>
        <v>No</v>
      </c>
      <c r="T6" s="2" t="str">
        <f t="shared" si="4"/>
        <v>Normal</v>
      </c>
      <c r="U6" s="2" t="str">
        <f t="shared" si="5"/>
        <v>No</v>
      </c>
      <c r="V6" s="2" t="str">
        <f t="shared" si="6"/>
        <v>No</v>
      </c>
      <c r="W6" s="2" t="str">
        <f t="shared" si="7"/>
        <v>Regular</v>
      </c>
      <c r="X6" s="2" t="str">
        <f t="shared" si="8"/>
        <v>Discounted Bulk</v>
      </c>
    </row>
    <row r="7" spans="1:24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41</v>
      </c>
      <c r="F7" s="2" t="s">
        <v>42</v>
      </c>
      <c r="G7" s="2" t="s">
        <v>25</v>
      </c>
      <c r="H7" s="2" t="s">
        <v>43</v>
      </c>
      <c r="I7" s="2" t="s">
        <v>20</v>
      </c>
      <c r="J7" s="2" t="s">
        <v>44</v>
      </c>
      <c r="K7" s="2" t="s">
        <v>34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Q7" s="2" t="str">
        <f t="shared" si="1"/>
        <v>No</v>
      </c>
      <c r="R7" s="2" t="str">
        <f t="shared" si="2"/>
        <v>No</v>
      </c>
      <c r="S7" s="2" t="str">
        <f t="shared" si="3"/>
        <v>Yes</v>
      </c>
      <c r="T7" s="2" t="str">
        <f t="shared" si="4"/>
        <v>Normal</v>
      </c>
      <c r="U7" s="2" t="str">
        <f t="shared" si="5"/>
        <v>Yes</v>
      </c>
      <c r="V7" s="2" t="str">
        <f t="shared" si="6"/>
        <v>Yes</v>
      </c>
      <c r="W7" s="2" t="str">
        <f t="shared" si="7"/>
        <v>Regular</v>
      </c>
      <c r="X7" s="2" t="str">
        <f t="shared" si="8"/>
        <v>Discounted Bulk</v>
      </c>
    </row>
    <row r="8" spans="1:24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35</v>
      </c>
      <c r="F8" s="2" t="s">
        <v>42</v>
      </c>
      <c r="G8" s="2" t="s">
        <v>18</v>
      </c>
      <c r="H8" s="2" t="s">
        <v>45</v>
      </c>
      <c r="I8" s="2" t="s">
        <v>32</v>
      </c>
      <c r="J8" s="2" t="s">
        <v>33</v>
      </c>
      <c r="K8" s="2" t="s">
        <v>46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Q8" s="2" t="str">
        <f t="shared" si="1"/>
        <v>Yes</v>
      </c>
      <c r="R8" s="2" t="str">
        <f t="shared" si="2"/>
        <v>No</v>
      </c>
      <c r="S8" s="2" t="str">
        <f t="shared" si="3"/>
        <v>Yes</v>
      </c>
      <c r="T8" s="2" t="str">
        <f t="shared" si="4"/>
        <v>Normal</v>
      </c>
      <c r="U8" s="2" t="str">
        <f t="shared" si="5"/>
        <v>No</v>
      </c>
      <c r="V8" s="2" t="str">
        <f t="shared" si="6"/>
        <v>No</v>
      </c>
      <c r="W8" s="2" t="str">
        <f t="shared" si="7"/>
        <v>Regular</v>
      </c>
      <c r="X8" s="2" t="str">
        <f t="shared" si="8"/>
        <v>Discounted Bulk</v>
      </c>
    </row>
    <row r="9" spans="1:24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47</v>
      </c>
      <c r="F9" s="2" t="s">
        <v>17</v>
      </c>
      <c r="G9" s="2" t="s">
        <v>25</v>
      </c>
      <c r="H9" s="2" t="s">
        <v>19</v>
      </c>
      <c r="I9" s="2" t="s">
        <v>32</v>
      </c>
      <c r="J9" s="2" t="s">
        <v>33</v>
      </c>
      <c r="K9" s="2" t="s">
        <v>48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  <c r="Q9" s="2" t="str">
        <f t="shared" si="1"/>
        <v>No</v>
      </c>
      <c r="R9" s="2" t="str">
        <f t="shared" si="2"/>
        <v>No</v>
      </c>
      <c r="S9" s="2" t="str">
        <f t="shared" si="3"/>
        <v>Yes</v>
      </c>
      <c r="T9" s="2" t="str">
        <f t="shared" si="4"/>
        <v>Normal</v>
      </c>
      <c r="U9" s="2" t="str">
        <f t="shared" si="5"/>
        <v>Yes</v>
      </c>
      <c r="V9" s="2" t="str">
        <f t="shared" si="6"/>
        <v>Yes</v>
      </c>
      <c r="W9" s="2" t="str">
        <f t="shared" si="7"/>
        <v>Regular</v>
      </c>
      <c r="X9" s="2" t="str">
        <f t="shared" si="8"/>
        <v>Discounted Bulk</v>
      </c>
    </row>
    <row r="10" spans="1:24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16</v>
      </c>
      <c r="F10" s="2" t="s">
        <v>30</v>
      </c>
      <c r="G10" s="2" t="s">
        <v>25</v>
      </c>
      <c r="H10" s="2" t="s">
        <v>26</v>
      </c>
      <c r="I10" s="2" t="s">
        <v>32</v>
      </c>
      <c r="J10" s="2" t="s">
        <v>49</v>
      </c>
      <c r="K10" s="2" t="s">
        <v>29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Q10" s="2" t="str">
        <f t="shared" si="1"/>
        <v>No</v>
      </c>
      <c r="R10" s="2" t="str">
        <f t="shared" si="2"/>
        <v>No</v>
      </c>
      <c r="S10" s="2" t="str">
        <f t="shared" si="3"/>
        <v>Yes</v>
      </c>
      <c r="T10" s="2" t="str">
        <f t="shared" si="4"/>
        <v>Normal</v>
      </c>
      <c r="U10" s="2" t="str">
        <f t="shared" si="5"/>
        <v>Yes</v>
      </c>
      <c r="V10" s="2" t="str">
        <f t="shared" si="6"/>
        <v>Yes</v>
      </c>
      <c r="W10" s="2" t="str">
        <f t="shared" si="7"/>
        <v>Regular</v>
      </c>
      <c r="X10" s="2" t="str">
        <f t="shared" si="8"/>
        <v>Discounted Bulk</v>
      </c>
    </row>
    <row r="11" spans="1:24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35</v>
      </c>
      <c r="F11" s="2" t="s">
        <v>39</v>
      </c>
      <c r="G11" s="2" t="s">
        <v>25</v>
      </c>
      <c r="H11" s="2" t="s">
        <v>36</v>
      </c>
      <c r="I11" s="2" t="s">
        <v>50</v>
      </c>
      <c r="J11" s="2" t="s">
        <v>51</v>
      </c>
      <c r="K11" s="2" t="s">
        <v>48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Q11" s="2" t="str">
        <f t="shared" si="1"/>
        <v>No</v>
      </c>
      <c r="R11" s="2" t="str">
        <f t="shared" si="2"/>
        <v>No</v>
      </c>
      <c r="S11" s="2" t="str">
        <f t="shared" si="3"/>
        <v>Yes</v>
      </c>
      <c r="T11" s="2" t="str">
        <f t="shared" si="4"/>
        <v>Normal</v>
      </c>
      <c r="U11" s="2" t="str">
        <f t="shared" si="5"/>
        <v>Yes</v>
      </c>
      <c r="V11" s="2" t="str">
        <f t="shared" si="6"/>
        <v>Yes</v>
      </c>
      <c r="W11" s="2" t="str">
        <f t="shared" si="7"/>
        <v>Regular</v>
      </c>
      <c r="X11" s="2" t="str">
        <f t="shared" si="8"/>
        <v>Discounted Bulk</v>
      </c>
    </row>
    <row r="12" spans="1:24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35</v>
      </c>
      <c r="F12" s="2" t="s">
        <v>39</v>
      </c>
      <c r="G12" s="2" t="s">
        <v>18</v>
      </c>
      <c r="H12" s="2" t="s">
        <v>36</v>
      </c>
      <c r="I12" s="2" t="s">
        <v>50</v>
      </c>
      <c r="J12" s="2" t="s">
        <v>51</v>
      </c>
      <c r="K12" s="2" t="s">
        <v>34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Q12" s="2" t="str">
        <f t="shared" si="1"/>
        <v>Yes</v>
      </c>
      <c r="R12" s="2" t="str">
        <f t="shared" si="2"/>
        <v>No</v>
      </c>
      <c r="S12" s="2" t="str">
        <f t="shared" si="3"/>
        <v>Yes</v>
      </c>
      <c r="T12" s="2" t="str">
        <f t="shared" si="4"/>
        <v>Normal</v>
      </c>
      <c r="U12" s="2" t="str">
        <f t="shared" si="5"/>
        <v>No</v>
      </c>
      <c r="V12" s="2" t="str">
        <f t="shared" si="6"/>
        <v>No</v>
      </c>
      <c r="W12" s="2" t="str">
        <f t="shared" si="7"/>
        <v>Premium</v>
      </c>
      <c r="X12" s="2" t="str">
        <f t="shared" si="8"/>
        <v>Discounted Bulk</v>
      </c>
    </row>
    <row r="13" spans="1:24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47</v>
      </c>
      <c r="F13" s="2" t="s">
        <v>24</v>
      </c>
      <c r="G13" s="2" t="s">
        <v>25</v>
      </c>
      <c r="H13" s="2" t="s">
        <v>45</v>
      </c>
      <c r="I13" s="2" t="s">
        <v>50</v>
      </c>
      <c r="J13" s="2" t="s">
        <v>52</v>
      </c>
      <c r="K13" s="2" t="s">
        <v>22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  <c r="Q13" s="2" t="str">
        <f t="shared" si="1"/>
        <v>No</v>
      </c>
      <c r="R13" s="2" t="str">
        <f t="shared" si="2"/>
        <v>No</v>
      </c>
      <c r="S13" s="2" t="str">
        <f t="shared" si="3"/>
        <v>Yes</v>
      </c>
      <c r="T13" s="2" t="str">
        <f t="shared" si="4"/>
        <v>Normal</v>
      </c>
      <c r="U13" s="2" t="str">
        <f t="shared" si="5"/>
        <v>Yes</v>
      </c>
      <c r="V13" s="2" t="str">
        <f t="shared" si="6"/>
        <v>Yes</v>
      </c>
      <c r="W13" s="2" t="str">
        <f t="shared" si="7"/>
        <v>Regular</v>
      </c>
      <c r="X13" s="2" t="str">
        <f t="shared" si="8"/>
        <v>Discounted Bulk</v>
      </c>
    </row>
    <row r="14" spans="1:24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17</v>
      </c>
      <c r="F14" s="2" t="s">
        <v>24</v>
      </c>
      <c r="G14" s="2" t="s">
        <v>18</v>
      </c>
      <c r="H14" s="2" t="s">
        <v>36</v>
      </c>
      <c r="I14" s="2" t="s">
        <v>20</v>
      </c>
      <c r="J14" s="2" t="s">
        <v>44</v>
      </c>
      <c r="K14" s="2" t="s">
        <v>22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Q14" s="2" t="str">
        <f t="shared" si="1"/>
        <v>Yes</v>
      </c>
      <c r="R14" s="2" t="str">
        <f t="shared" si="2"/>
        <v>No</v>
      </c>
      <c r="S14" s="2" t="str">
        <f t="shared" si="3"/>
        <v>Yes</v>
      </c>
      <c r="T14" s="2" t="str">
        <f t="shared" si="4"/>
        <v>Normal</v>
      </c>
      <c r="U14" s="2" t="str">
        <f t="shared" si="5"/>
        <v>No</v>
      </c>
      <c r="V14" s="2" t="str">
        <f t="shared" si="6"/>
        <v>No</v>
      </c>
      <c r="W14" s="2" t="str">
        <f t="shared" si="7"/>
        <v>Regular</v>
      </c>
      <c r="X14" s="2" t="str">
        <f t="shared" si="8"/>
        <v>Discounted Bulk</v>
      </c>
    </row>
    <row r="15" spans="1:24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38</v>
      </c>
      <c r="F15" s="2" t="s">
        <v>39</v>
      </c>
      <c r="G15" s="2" t="s">
        <v>31</v>
      </c>
      <c r="H15" s="2" t="s">
        <v>36</v>
      </c>
      <c r="I15" s="2" t="s">
        <v>27</v>
      </c>
      <c r="J15" s="2" t="s">
        <v>37</v>
      </c>
      <c r="K15" s="2" t="s">
        <v>29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Q15" s="2" t="str">
        <f t="shared" si="1"/>
        <v>No</v>
      </c>
      <c r="R15" s="2" t="str">
        <f t="shared" si="2"/>
        <v>Yes</v>
      </c>
      <c r="S15" s="2" t="str">
        <f t="shared" si="3"/>
        <v>No</v>
      </c>
      <c r="T15" s="2" t="str">
        <f t="shared" si="4"/>
        <v>Normal</v>
      </c>
      <c r="U15" s="2" t="str">
        <f t="shared" si="5"/>
        <v>No</v>
      </c>
      <c r="V15" s="2" t="str">
        <f t="shared" si="6"/>
        <v>No</v>
      </c>
      <c r="W15" s="2" t="str">
        <f t="shared" si="7"/>
        <v>Regular</v>
      </c>
      <c r="X15" s="2" t="str">
        <f t="shared" si="8"/>
        <v>Non Discounted Bulk</v>
      </c>
    </row>
    <row r="16" spans="1:24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41</v>
      </c>
      <c r="F16" s="2" t="s">
        <v>24</v>
      </c>
      <c r="G16" s="2" t="s">
        <v>25</v>
      </c>
      <c r="H16" s="2" t="s">
        <v>19</v>
      </c>
      <c r="I16" s="2" t="s">
        <v>53</v>
      </c>
      <c r="J16" s="2" t="s">
        <v>54</v>
      </c>
      <c r="K16" s="2" t="s">
        <v>22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Q16" s="2" t="str">
        <f t="shared" si="1"/>
        <v>No</v>
      </c>
      <c r="R16" s="2" t="str">
        <f t="shared" si="2"/>
        <v>Yes</v>
      </c>
      <c r="S16" s="2" t="str">
        <f t="shared" si="3"/>
        <v>Yes</v>
      </c>
      <c r="T16" s="2" t="str">
        <f t="shared" si="4"/>
        <v>Normal</v>
      </c>
      <c r="U16" s="2" t="str">
        <f t="shared" si="5"/>
        <v>Yes</v>
      </c>
      <c r="V16" s="2" t="str">
        <f t="shared" si="6"/>
        <v>Yes</v>
      </c>
      <c r="W16" s="2" t="str">
        <f t="shared" si="7"/>
        <v>Regular</v>
      </c>
      <c r="X16" s="2" t="str">
        <f t="shared" si="8"/>
        <v>Non Discounted Bulk</v>
      </c>
    </row>
    <row r="17" spans="1:24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23</v>
      </c>
      <c r="F17" s="2" t="s">
        <v>30</v>
      </c>
      <c r="G17" s="2" t="s">
        <v>18</v>
      </c>
      <c r="H17" s="2" t="s">
        <v>43</v>
      </c>
      <c r="I17" s="2" t="s">
        <v>32</v>
      </c>
      <c r="J17" s="2" t="s">
        <v>40</v>
      </c>
      <c r="K17" s="2" t="s">
        <v>22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Q17" s="2" t="str">
        <f t="shared" si="1"/>
        <v>No</v>
      </c>
      <c r="R17" s="2" t="str">
        <f t="shared" si="2"/>
        <v>No</v>
      </c>
      <c r="S17" s="2" t="str">
        <f t="shared" si="3"/>
        <v>Yes</v>
      </c>
      <c r="T17" s="2" t="str">
        <f t="shared" si="4"/>
        <v>Normal</v>
      </c>
      <c r="U17" s="2" t="str">
        <f t="shared" si="5"/>
        <v>No</v>
      </c>
      <c r="V17" s="2" t="str">
        <f t="shared" si="6"/>
        <v>No</v>
      </c>
      <c r="W17" s="2" t="str">
        <f t="shared" si="7"/>
        <v>Regular</v>
      </c>
      <c r="X17" s="2" t="str">
        <f t="shared" si="8"/>
        <v>Non Discounted Bulk</v>
      </c>
    </row>
    <row r="18" spans="1:24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17</v>
      </c>
      <c r="F18" s="2" t="s">
        <v>55</v>
      </c>
      <c r="G18" s="2" t="s">
        <v>18</v>
      </c>
      <c r="H18" s="2" t="s">
        <v>45</v>
      </c>
      <c r="I18" s="2" t="s">
        <v>32</v>
      </c>
      <c r="J18" s="2" t="s">
        <v>40</v>
      </c>
      <c r="K18" s="2" t="s">
        <v>29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Q18" s="2" t="str">
        <f t="shared" si="1"/>
        <v>No</v>
      </c>
      <c r="R18" s="2" t="str">
        <f t="shared" si="2"/>
        <v>No</v>
      </c>
      <c r="S18" s="2" t="str">
        <f t="shared" si="3"/>
        <v>Yes</v>
      </c>
      <c r="T18" s="2" t="str">
        <f t="shared" si="4"/>
        <v>Special Attention</v>
      </c>
      <c r="U18" s="2" t="str">
        <f t="shared" si="5"/>
        <v>No</v>
      </c>
      <c r="V18" s="2" t="str">
        <f t="shared" si="6"/>
        <v>No</v>
      </c>
      <c r="W18" s="2" t="str">
        <f t="shared" si="7"/>
        <v>Regular</v>
      </c>
      <c r="X18" s="2" t="str">
        <f t="shared" si="8"/>
        <v>Discounted Bulk</v>
      </c>
    </row>
    <row r="19" spans="1:24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16</v>
      </c>
      <c r="F19" s="2" t="s">
        <v>30</v>
      </c>
      <c r="G19" s="2" t="s">
        <v>25</v>
      </c>
      <c r="H19" s="2" t="s">
        <v>19</v>
      </c>
      <c r="I19" s="2" t="s">
        <v>20</v>
      </c>
      <c r="J19" s="2" t="s">
        <v>56</v>
      </c>
      <c r="K19" s="2" t="s">
        <v>29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Q19" s="2" t="str">
        <f t="shared" si="1"/>
        <v>No</v>
      </c>
      <c r="R19" s="2" t="str">
        <f t="shared" si="2"/>
        <v>No</v>
      </c>
      <c r="S19" s="2" t="str">
        <f t="shared" si="3"/>
        <v>Yes</v>
      </c>
      <c r="T19" s="2" t="str">
        <f t="shared" si="4"/>
        <v>Normal</v>
      </c>
      <c r="U19" s="2" t="str">
        <f t="shared" si="5"/>
        <v>Yes</v>
      </c>
      <c r="V19" s="2" t="str">
        <f t="shared" si="6"/>
        <v>Yes</v>
      </c>
      <c r="W19" s="2" t="str">
        <f t="shared" si="7"/>
        <v>Regular</v>
      </c>
      <c r="X19" s="2" t="str">
        <f t="shared" si="8"/>
        <v>Discounted Bulk</v>
      </c>
    </row>
    <row r="20" spans="1:24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35</v>
      </c>
      <c r="F20" s="2" t="s">
        <v>39</v>
      </c>
      <c r="G20" s="2" t="s">
        <v>31</v>
      </c>
      <c r="H20" s="2" t="s">
        <v>43</v>
      </c>
      <c r="I20" s="2" t="s">
        <v>32</v>
      </c>
      <c r="J20" s="2" t="s">
        <v>40</v>
      </c>
      <c r="K20" s="2" t="s">
        <v>34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Q20" s="2" t="str">
        <f t="shared" si="1"/>
        <v>No</v>
      </c>
      <c r="R20" s="2" t="str">
        <f t="shared" si="2"/>
        <v>No</v>
      </c>
      <c r="S20" s="2" t="str">
        <f t="shared" si="3"/>
        <v>No</v>
      </c>
      <c r="T20" s="2" t="str">
        <f t="shared" si="4"/>
        <v>Normal</v>
      </c>
      <c r="U20" s="2" t="str">
        <f t="shared" si="5"/>
        <v>No</v>
      </c>
      <c r="V20" s="2" t="str">
        <f t="shared" si="6"/>
        <v>No</v>
      </c>
      <c r="W20" s="2" t="str">
        <f t="shared" si="7"/>
        <v>Regular</v>
      </c>
      <c r="X20" s="2" t="str">
        <f t="shared" si="8"/>
        <v>Discounted Bulk</v>
      </c>
    </row>
    <row r="21" spans="1:24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47</v>
      </c>
      <c r="F21" s="2" t="s">
        <v>39</v>
      </c>
      <c r="G21" s="2" t="s">
        <v>18</v>
      </c>
      <c r="H21" s="2" t="s">
        <v>19</v>
      </c>
      <c r="I21" s="2" t="s">
        <v>50</v>
      </c>
      <c r="J21" s="2" t="s">
        <v>52</v>
      </c>
      <c r="K21" s="2" t="s">
        <v>22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Q21" s="2" t="str">
        <f t="shared" si="1"/>
        <v>No</v>
      </c>
      <c r="R21" s="2" t="str">
        <f t="shared" si="2"/>
        <v>No</v>
      </c>
      <c r="S21" s="2" t="str">
        <f t="shared" si="3"/>
        <v>Yes</v>
      </c>
      <c r="T21" s="2" t="str">
        <f t="shared" si="4"/>
        <v>Normal</v>
      </c>
      <c r="U21" s="2" t="str">
        <f t="shared" si="5"/>
        <v>No</v>
      </c>
      <c r="V21" s="2" t="str">
        <f t="shared" si="6"/>
        <v>No</v>
      </c>
      <c r="W21" s="2" t="str">
        <f t="shared" si="7"/>
        <v>Regular</v>
      </c>
      <c r="X21" s="2" t="str">
        <f t="shared" si="8"/>
        <v>Discounted Bulk</v>
      </c>
    </row>
    <row r="22" spans="1:24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47</v>
      </c>
      <c r="F22" s="2" t="s">
        <v>30</v>
      </c>
      <c r="G22" s="2" t="s">
        <v>25</v>
      </c>
      <c r="H22" s="2" t="s">
        <v>19</v>
      </c>
      <c r="I22" s="2" t="s">
        <v>53</v>
      </c>
      <c r="J22" s="2" t="s">
        <v>57</v>
      </c>
      <c r="K22" s="2" t="s">
        <v>22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Q22" s="2" t="str">
        <f t="shared" si="1"/>
        <v>No</v>
      </c>
      <c r="R22" s="2" t="str">
        <f t="shared" si="2"/>
        <v>No</v>
      </c>
      <c r="S22" s="2" t="str">
        <f t="shared" si="3"/>
        <v>Yes</v>
      </c>
      <c r="T22" s="2" t="str">
        <f t="shared" si="4"/>
        <v>Normal</v>
      </c>
      <c r="U22" s="2" t="str">
        <f t="shared" si="5"/>
        <v>Yes</v>
      </c>
      <c r="V22" s="2" t="str">
        <f t="shared" si="6"/>
        <v>Yes</v>
      </c>
      <c r="W22" s="2" t="str">
        <f t="shared" si="7"/>
        <v>Regular</v>
      </c>
      <c r="X22" s="2" t="str">
        <f t="shared" si="8"/>
        <v>Discounted Bulk</v>
      </c>
    </row>
    <row r="23" spans="1:24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38</v>
      </c>
      <c r="F23" s="2" t="s">
        <v>24</v>
      </c>
      <c r="G23" s="2" t="s">
        <v>31</v>
      </c>
      <c r="H23" s="2" t="s">
        <v>36</v>
      </c>
      <c r="I23" s="2" t="s">
        <v>58</v>
      </c>
      <c r="J23" s="2" t="s">
        <v>59</v>
      </c>
      <c r="K23" s="2" t="s">
        <v>34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Q23" s="2" t="str">
        <f t="shared" si="1"/>
        <v>No</v>
      </c>
      <c r="R23" s="2" t="str">
        <f t="shared" si="2"/>
        <v>No</v>
      </c>
      <c r="S23" s="2" t="str">
        <f t="shared" si="3"/>
        <v>No</v>
      </c>
      <c r="T23" s="2" t="str">
        <f t="shared" si="4"/>
        <v>Normal</v>
      </c>
      <c r="U23" s="2" t="str">
        <f t="shared" si="5"/>
        <v>No</v>
      </c>
      <c r="V23" s="2" t="str">
        <f t="shared" si="6"/>
        <v>No</v>
      </c>
      <c r="W23" s="2" t="str">
        <f t="shared" si="7"/>
        <v>Regular</v>
      </c>
      <c r="X23" s="2" t="str">
        <f t="shared" si="8"/>
        <v>Discounted Bulk</v>
      </c>
    </row>
    <row r="24" spans="1:24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17</v>
      </c>
      <c r="F24" s="2" t="s">
        <v>24</v>
      </c>
      <c r="G24" s="2" t="s">
        <v>18</v>
      </c>
      <c r="H24" s="2" t="s">
        <v>43</v>
      </c>
      <c r="I24" s="2" t="s">
        <v>32</v>
      </c>
      <c r="J24" s="2" t="s">
        <v>33</v>
      </c>
      <c r="K24" s="2" t="s">
        <v>46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Q24" s="2" t="str">
        <f t="shared" si="1"/>
        <v>No</v>
      </c>
      <c r="R24" s="2" t="str">
        <f t="shared" si="2"/>
        <v>No</v>
      </c>
      <c r="S24" s="2" t="str">
        <f t="shared" si="3"/>
        <v>Yes</v>
      </c>
      <c r="T24" s="2" t="str">
        <f t="shared" si="4"/>
        <v>Normal</v>
      </c>
      <c r="U24" s="2" t="str">
        <f t="shared" si="5"/>
        <v>No</v>
      </c>
      <c r="V24" s="2" t="str">
        <f t="shared" si="6"/>
        <v>No</v>
      </c>
      <c r="W24" s="2" t="str">
        <f t="shared" si="7"/>
        <v>Regular</v>
      </c>
      <c r="X24" s="2" t="str">
        <f t="shared" si="8"/>
        <v>Discounted Bulk</v>
      </c>
    </row>
    <row r="25" spans="1:24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23</v>
      </c>
      <c r="F25" s="2" t="s">
        <v>42</v>
      </c>
      <c r="G25" s="2" t="s">
        <v>18</v>
      </c>
      <c r="H25" s="2" t="s">
        <v>45</v>
      </c>
      <c r="I25" s="2" t="s">
        <v>50</v>
      </c>
      <c r="J25" s="2" t="s">
        <v>52</v>
      </c>
      <c r="K25" s="2" t="s">
        <v>46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Q25" s="2" t="str">
        <f t="shared" si="1"/>
        <v>No</v>
      </c>
      <c r="R25" s="2" t="str">
        <f t="shared" si="2"/>
        <v>No</v>
      </c>
      <c r="S25" s="2" t="str">
        <f t="shared" si="3"/>
        <v>Yes</v>
      </c>
      <c r="T25" s="2" t="str">
        <f t="shared" si="4"/>
        <v>Normal</v>
      </c>
      <c r="U25" s="2" t="str">
        <f t="shared" si="5"/>
        <v>No</v>
      </c>
      <c r="V25" s="2" t="str">
        <f t="shared" si="6"/>
        <v>No</v>
      </c>
      <c r="W25" s="2" t="str">
        <f t="shared" si="7"/>
        <v>Regular</v>
      </c>
      <c r="X25" s="2" t="str">
        <f t="shared" si="8"/>
        <v>Discounted Bulk</v>
      </c>
    </row>
    <row r="26" spans="1:24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38</v>
      </c>
      <c r="F26" s="2" t="s">
        <v>39</v>
      </c>
      <c r="G26" s="2" t="s">
        <v>31</v>
      </c>
      <c r="H26" s="2" t="s">
        <v>45</v>
      </c>
      <c r="I26" s="2" t="s">
        <v>58</v>
      </c>
      <c r="J26" s="2" t="s">
        <v>60</v>
      </c>
      <c r="K26" s="2" t="s">
        <v>46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Q26" s="2" t="str">
        <f t="shared" si="1"/>
        <v>Yes</v>
      </c>
      <c r="R26" s="2" t="str">
        <f t="shared" si="2"/>
        <v>No</v>
      </c>
      <c r="S26" s="2" t="str">
        <f t="shared" si="3"/>
        <v>No</v>
      </c>
      <c r="T26" s="2" t="str">
        <f t="shared" si="4"/>
        <v>Normal</v>
      </c>
      <c r="U26" s="2" t="str">
        <f t="shared" si="5"/>
        <v>No</v>
      </c>
      <c r="V26" s="2" t="str">
        <f t="shared" si="6"/>
        <v>No</v>
      </c>
      <c r="W26" s="2" t="str">
        <f t="shared" si="7"/>
        <v>Regular</v>
      </c>
      <c r="X26" s="2" t="str">
        <f t="shared" si="8"/>
        <v>Discounted Bulk</v>
      </c>
    </row>
    <row r="27" spans="1:24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35</v>
      </c>
      <c r="F27" s="2" t="s">
        <v>17</v>
      </c>
      <c r="G27" s="2" t="s">
        <v>31</v>
      </c>
      <c r="H27" s="2" t="s">
        <v>43</v>
      </c>
      <c r="I27" s="2" t="s">
        <v>53</v>
      </c>
      <c r="J27" s="2" t="s">
        <v>61</v>
      </c>
      <c r="K27" s="2" t="s">
        <v>34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Q27" s="2" t="str">
        <f t="shared" si="1"/>
        <v>No</v>
      </c>
      <c r="R27" s="2" t="str">
        <f t="shared" si="2"/>
        <v>No</v>
      </c>
      <c r="S27" s="2" t="str">
        <f t="shared" si="3"/>
        <v>No</v>
      </c>
      <c r="T27" s="2" t="str">
        <f t="shared" si="4"/>
        <v>Normal</v>
      </c>
      <c r="U27" s="2" t="str">
        <f t="shared" si="5"/>
        <v>No</v>
      </c>
      <c r="V27" s="2" t="str">
        <f t="shared" si="6"/>
        <v>No</v>
      </c>
      <c r="W27" s="2" t="str">
        <f t="shared" si="7"/>
        <v>Regular</v>
      </c>
      <c r="X27" s="2" t="str">
        <f t="shared" si="8"/>
        <v>Non Discounted Bulk</v>
      </c>
    </row>
    <row r="28" spans="1:24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38</v>
      </c>
      <c r="F28" s="2" t="s">
        <v>42</v>
      </c>
      <c r="G28" s="2" t="s">
        <v>25</v>
      </c>
      <c r="H28" s="2" t="s">
        <v>36</v>
      </c>
      <c r="I28" s="2" t="s">
        <v>58</v>
      </c>
      <c r="J28" s="2" t="s">
        <v>59</v>
      </c>
      <c r="K28" s="2" t="s">
        <v>22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  <c r="Q28" s="2" t="str">
        <f t="shared" si="1"/>
        <v>No</v>
      </c>
      <c r="R28" s="2" t="str">
        <f t="shared" si="2"/>
        <v>No</v>
      </c>
      <c r="S28" s="2" t="str">
        <f t="shared" si="3"/>
        <v>Yes</v>
      </c>
      <c r="T28" s="2" t="str">
        <f t="shared" si="4"/>
        <v>Normal</v>
      </c>
      <c r="U28" s="2" t="str">
        <f t="shared" si="5"/>
        <v>Yes</v>
      </c>
      <c r="V28" s="2" t="str">
        <f t="shared" si="6"/>
        <v>Yes</v>
      </c>
      <c r="W28" s="2" t="str">
        <f t="shared" si="7"/>
        <v>Regular</v>
      </c>
      <c r="X28" s="2" t="str">
        <f t="shared" si="8"/>
        <v>Discounted Bulk</v>
      </c>
    </row>
    <row r="29" spans="1:24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41</v>
      </c>
      <c r="F29" s="2" t="s">
        <v>24</v>
      </c>
      <c r="G29" s="2" t="s">
        <v>25</v>
      </c>
      <c r="H29" s="2" t="s">
        <v>26</v>
      </c>
      <c r="I29" s="2" t="s">
        <v>50</v>
      </c>
      <c r="J29" s="2" t="s">
        <v>52</v>
      </c>
      <c r="K29" s="2" t="s">
        <v>34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Q29" s="2" t="str">
        <f t="shared" si="1"/>
        <v>Yes</v>
      </c>
      <c r="R29" s="2" t="str">
        <f t="shared" si="2"/>
        <v>No</v>
      </c>
      <c r="S29" s="2" t="str">
        <f t="shared" si="3"/>
        <v>Yes</v>
      </c>
      <c r="T29" s="2" t="str">
        <f t="shared" si="4"/>
        <v>Normal</v>
      </c>
      <c r="U29" s="2" t="str">
        <f t="shared" si="5"/>
        <v>Yes</v>
      </c>
      <c r="V29" s="2" t="str">
        <f t="shared" si="6"/>
        <v>Yes</v>
      </c>
      <c r="W29" s="2" t="str">
        <f t="shared" si="7"/>
        <v>Premium</v>
      </c>
      <c r="X29" s="2" t="str">
        <f t="shared" si="8"/>
        <v>Discounted Bulk</v>
      </c>
    </row>
    <row r="30" spans="1:24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47</v>
      </c>
      <c r="F30" s="2" t="s">
        <v>30</v>
      </c>
      <c r="G30" s="2" t="s">
        <v>18</v>
      </c>
      <c r="H30" s="2" t="s">
        <v>19</v>
      </c>
      <c r="I30" s="2" t="s">
        <v>27</v>
      </c>
      <c r="J30" s="2" t="s">
        <v>28</v>
      </c>
      <c r="K30" s="2" t="s">
        <v>34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Q30" s="2" t="str">
        <f t="shared" si="1"/>
        <v>No</v>
      </c>
      <c r="R30" s="2" t="str">
        <f t="shared" si="2"/>
        <v>No</v>
      </c>
      <c r="S30" s="2" t="str">
        <f t="shared" si="3"/>
        <v>Yes</v>
      </c>
      <c r="T30" s="2" t="str">
        <f t="shared" si="4"/>
        <v>Normal</v>
      </c>
      <c r="U30" s="2" t="str">
        <f t="shared" si="5"/>
        <v>No</v>
      </c>
      <c r="V30" s="2" t="str">
        <f t="shared" si="6"/>
        <v>No</v>
      </c>
      <c r="W30" s="2" t="str">
        <f t="shared" si="7"/>
        <v>Regular</v>
      </c>
      <c r="X30" s="2" t="str">
        <f t="shared" si="8"/>
        <v>Discounted Bulk</v>
      </c>
    </row>
    <row r="31" spans="1:24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47</v>
      </c>
      <c r="F31" s="2" t="s">
        <v>24</v>
      </c>
      <c r="G31" s="2" t="s">
        <v>31</v>
      </c>
      <c r="H31" s="2" t="s">
        <v>36</v>
      </c>
      <c r="I31" s="2" t="s">
        <v>27</v>
      </c>
      <c r="J31" s="2" t="s">
        <v>62</v>
      </c>
      <c r="K31" s="2" t="s">
        <v>46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Q31" s="2" t="str">
        <f t="shared" si="1"/>
        <v>No</v>
      </c>
      <c r="R31" s="2" t="str">
        <f t="shared" si="2"/>
        <v>No</v>
      </c>
      <c r="S31" s="2" t="str">
        <f t="shared" si="3"/>
        <v>No</v>
      </c>
      <c r="T31" s="2" t="str">
        <f t="shared" si="4"/>
        <v>Special Attention</v>
      </c>
      <c r="U31" s="2" t="str">
        <f t="shared" si="5"/>
        <v>No</v>
      </c>
      <c r="V31" s="2" t="str">
        <f t="shared" si="6"/>
        <v>No</v>
      </c>
      <c r="W31" s="2" t="str">
        <f t="shared" si="7"/>
        <v>Regular</v>
      </c>
      <c r="X31" s="2" t="str">
        <f t="shared" si="8"/>
        <v>Discounted Bulk</v>
      </c>
    </row>
    <row r="32" spans="1:24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16</v>
      </c>
      <c r="F32" s="2" t="s">
        <v>30</v>
      </c>
      <c r="G32" s="2" t="s">
        <v>31</v>
      </c>
      <c r="H32" s="2" t="s">
        <v>43</v>
      </c>
      <c r="I32" s="2" t="s">
        <v>58</v>
      </c>
      <c r="J32" s="2" t="s">
        <v>63</v>
      </c>
      <c r="K32" s="2" t="s">
        <v>48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Q32" s="2" t="str">
        <f t="shared" si="1"/>
        <v>No</v>
      </c>
      <c r="R32" s="2" t="str">
        <f t="shared" si="2"/>
        <v>No</v>
      </c>
      <c r="S32" s="2" t="str">
        <f t="shared" si="3"/>
        <v>No</v>
      </c>
      <c r="T32" s="2" t="str">
        <f t="shared" si="4"/>
        <v>Normal</v>
      </c>
      <c r="U32" s="2" t="str">
        <f t="shared" si="5"/>
        <v>No</v>
      </c>
      <c r="V32" s="2" t="str">
        <f t="shared" si="6"/>
        <v>No</v>
      </c>
      <c r="W32" s="2" t="str">
        <f t="shared" si="7"/>
        <v>Regular</v>
      </c>
      <c r="X32" s="2" t="str">
        <f t="shared" si="8"/>
        <v>Discounted Bulk</v>
      </c>
    </row>
    <row r="33" spans="1:24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16</v>
      </c>
      <c r="F33" s="2" t="s">
        <v>42</v>
      </c>
      <c r="G33" s="2" t="s">
        <v>31</v>
      </c>
      <c r="H33" s="2" t="s">
        <v>19</v>
      </c>
      <c r="I33" s="2" t="s">
        <v>20</v>
      </c>
      <c r="J33" s="2" t="s">
        <v>44</v>
      </c>
      <c r="K33" s="2" t="s">
        <v>22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Q33" s="2" t="str">
        <f t="shared" si="1"/>
        <v>No</v>
      </c>
      <c r="R33" s="2" t="str">
        <f t="shared" si="2"/>
        <v>No</v>
      </c>
      <c r="S33" s="2" t="str">
        <f t="shared" si="3"/>
        <v>No</v>
      </c>
      <c r="T33" s="2" t="str">
        <f t="shared" si="4"/>
        <v>Normal</v>
      </c>
      <c r="U33" s="2" t="str">
        <f t="shared" si="5"/>
        <v>No</v>
      </c>
      <c r="V33" s="2" t="str">
        <f t="shared" si="6"/>
        <v>No</v>
      </c>
      <c r="W33" s="2" t="str">
        <f t="shared" si="7"/>
        <v>Regular</v>
      </c>
      <c r="X33" s="2" t="str">
        <f t="shared" si="8"/>
        <v>Discounted Bulk</v>
      </c>
    </row>
    <row r="34" spans="1:24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23</v>
      </c>
      <c r="F34" s="2" t="s">
        <v>39</v>
      </c>
      <c r="G34" s="2" t="s">
        <v>18</v>
      </c>
      <c r="H34" s="2" t="s">
        <v>45</v>
      </c>
      <c r="I34" s="2" t="s">
        <v>58</v>
      </c>
      <c r="J34" s="2" t="s">
        <v>60</v>
      </c>
      <c r="K34" s="2" t="s">
        <v>46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Q34" s="2" t="str">
        <f t="shared" si="1"/>
        <v>Yes</v>
      </c>
      <c r="R34" s="2" t="str">
        <f t="shared" si="2"/>
        <v>No</v>
      </c>
      <c r="S34" s="2" t="str">
        <f t="shared" si="3"/>
        <v>Yes</v>
      </c>
      <c r="T34" s="2" t="str">
        <f t="shared" si="4"/>
        <v>Normal</v>
      </c>
      <c r="U34" s="2" t="str">
        <f t="shared" si="5"/>
        <v>No</v>
      </c>
      <c r="V34" s="2" t="str">
        <f t="shared" si="6"/>
        <v>No</v>
      </c>
      <c r="W34" s="2" t="str">
        <f t="shared" si="7"/>
        <v>Regular</v>
      </c>
      <c r="X34" s="2" t="str">
        <f t="shared" si="8"/>
        <v>Discounted Bulk</v>
      </c>
    </row>
    <row r="35" spans="1:24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35</v>
      </c>
      <c r="F35" s="2" t="s">
        <v>24</v>
      </c>
      <c r="G35" s="2" t="s">
        <v>31</v>
      </c>
      <c r="H35" s="2" t="s">
        <v>26</v>
      </c>
      <c r="I35" s="2" t="s">
        <v>32</v>
      </c>
      <c r="J35" s="2" t="s">
        <v>49</v>
      </c>
      <c r="K35" s="2" t="s">
        <v>48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  <c r="Q35" s="2" t="str">
        <f t="shared" si="1"/>
        <v>No</v>
      </c>
      <c r="R35" s="2" t="str">
        <f t="shared" si="2"/>
        <v>No</v>
      </c>
      <c r="S35" s="2" t="str">
        <f t="shared" si="3"/>
        <v>No</v>
      </c>
      <c r="T35" s="2" t="str">
        <f t="shared" si="4"/>
        <v>Normal</v>
      </c>
      <c r="U35" s="2" t="str">
        <f t="shared" si="5"/>
        <v>No</v>
      </c>
      <c r="V35" s="2" t="str">
        <f t="shared" si="6"/>
        <v>No</v>
      </c>
      <c r="W35" s="2" t="str">
        <f t="shared" si="7"/>
        <v>Regular</v>
      </c>
      <c r="X35" s="2" t="str">
        <f t="shared" si="8"/>
        <v>Discounted Bulk</v>
      </c>
    </row>
    <row r="36" spans="1:24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41</v>
      </c>
      <c r="F36" s="2" t="s">
        <v>30</v>
      </c>
      <c r="G36" s="2" t="s">
        <v>31</v>
      </c>
      <c r="H36" s="2" t="s">
        <v>45</v>
      </c>
      <c r="I36" s="2" t="s">
        <v>32</v>
      </c>
      <c r="J36" s="2" t="s">
        <v>49</v>
      </c>
      <c r="K36" s="2" t="s">
        <v>48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  <c r="Q36" s="2" t="str">
        <f t="shared" si="1"/>
        <v>Yes</v>
      </c>
      <c r="R36" s="2" t="str">
        <f t="shared" si="2"/>
        <v>No</v>
      </c>
      <c r="S36" s="2" t="str">
        <f t="shared" si="3"/>
        <v>No</v>
      </c>
      <c r="T36" s="2" t="str">
        <f t="shared" si="4"/>
        <v>Normal</v>
      </c>
      <c r="U36" s="2" t="str">
        <f t="shared" si="5"/>
        <v>No</v>
      </c>
      <c r="V36" s="2" t="str">
        <f t="shared" si="6"/>
        <v>No</v>
      </c>
      <c r="W36" s="2" t="str">
        <f t="shared" si="7"/>
        <v>Regular</v>
      </c>
      <c r="X36" s="2" t="str">
        <f t="shared" si="8"/>
        <v>Discounted Bulk</v>
      </c>
    </row>
    <row r="37" spans="1:24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17</v>
      </c>
      <c r="F37" s="2" t="s">
        <v>39</v>
      </c>
      <c r="G37" s="2" t="s">
        <v>18</v>
      </c>
      <c r="H37" s="2" t="s">
        <v>43</v>
      </c>
      <c r="I37" s="2" t="s">
        <v>27</v>
      </c>
      <c r="J37" s="2" t="s">
        <v>28</v>
      </c>
      <c r="K37" s="2" t="s">
        <v>29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  <c r="Q37" s="2" t="str">
        <f t="shared" si="1"/>
        <v>Yes</v>
      </c>
      <c r="R37" s="2" t="str">
        <f t="shared" si="2"/>
        <v>No</v>
      </c>
      <c r="S37" s="2" t="str">
        <f t="shared" si="3"/>
        <v>Yes</v>
      </c>
      <c r="T37" s="2" t="str">
        <f t="shared" si="4"/>
        <v>Normal</v>
      </c>
      <c r="U37" s="2" t="str">
        <f t="shared" si="5"/>
        <v>No</v>
      </c>
      <c r="V37" s="2" t="str">
        <f t="shared" si="6"/>
        <v>No</v>
      </c>
      <c r="W37" s="2" t="str">
        <f t="shared" si="7"/>
        <v>Regular</v>
      </c>
      <c r="X37" s="2" t="str">
        <f t="shared" si="8"/>
        <v>Discounted Bulk</v>
      </c>
    </row>
    <row r="38" spans="1:24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38</v>
      </c>
      <c r="F38" s="2" t="s">
        <v>17</v>
      </c>
      <c r="G38" s="2" t="s">
        <v>25</v>
      </c>
      <c r="H38" s="2" t="s">
        <v>19</v>
      </c>
      <c r="I38" s="2" t="s">
        <v>20</v>
      </c>
      <c r="J38" s="2" t="s">
        <v>56</v>
      </c>
      <c r="K38" s="2" t="s">
        <v>22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  <c r="Q38" s="2" t="str">
        <f t="shared" si="1"/>
        <v>No</v>
      </c>
      <c r="R38" s="2" t="str">
        <f t="shared" si="2"/>
        <v>No</v>
      </c>
      <c r="S38" s="2" t="str">
        <f t="shared" si="3"/>
        <v>Yes</v>
      </c>
      <c r="T38" s="2" t="str">
        <f t="shared" si="4"/>
        <v>Normal</v>
      </c>
      <c r="U38" s="2" t="str">
        <f t="shared" si="5"/>
        <v>Yes</v>
      </c>
      <c r="V38" s="2" t="str">
        <f t="shared" si="6"/>
        <v>Yes</v>
      </c>
      <c r="W38" s="2" t="str">
        <f t="shared" si="7"/>
        <v>Regular</v>
      </c>
      <c r="X38" s="2" t="str">
        <f t="shared" si="8"/>
        <v>Discounted Bulk</v>
      </c>
    </row>
    <row r="39" spans="1:24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23</v>
      </c>
      <c r="F39" s="2" t="s">
        <v>30</v>
      </c>
      <c r="G39" s="2" t="s">
        <v>25</v>
      </c>
      <c r="H39" s="2" t="s">
        <v>43</v>
      </c>
      <c r="I39" s="2" t="s">
        <v>50</v>
      </c>
      <c r="J39" s="2" t="s">
        <v>64</v>
      </c>
      <c r="K39" s="2" t="s">
        <v>48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  <c r="Q39" s="2" t="str">
        <f t="shared" si="1"/>
        <v>No</v>
      </c>
      <c r="R39" s="2" t="str">
        <f t="shared" si="2"/>
        <v>No</v>
      </c>
      <c r="S39" s="2" t="str">
        <f t="shared" si="3"/>
        <v>Yes</v>
      </c>
      <c r="T39" s="2" t="str">
        <f t="shared" si="4"/>
        <v>Normal</v>
      </c>
      <c r="U39" s="2" t="str">
        <f t="shared" si="5"/>
        <v>Yes</v>
      </c>
      <c r="V39" s="2" t="str">
        <f t="shared" si="6"/>
        <v>Yes</v>
      </c>
      <c r="W39" s="2" t="str">
        <f t="shared" si="7"/>
        <v>Regular</v>
      </c>
      <c r="X39" s="2" t="str">
        <f t="shared" si="8"/>
        <v>Discounted Bulk</v>
      </c>
    </row>
    <row r="40" spans="1:24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35</v>
      </c>
      <c r="F40" s="2" t="s">
        <v>42</v>
      </c>
      <c r="G40" s="2" t="s">
        <v>18</v>
      </c>
      <c r="H40" s="2" t="s">
        <v>19</v>
      </c>
      <c r="I40" s="2" t="s">
        <v>32</v>
      </c>
      <c r="J40" s="2" t="s">
        <v>49</v>
      </c>
      <c r="K40" s="2" t="s">
        <v>46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  <c r="Q40" s="2" t="str">
        <f t="shared" si="1"/>
        <v>Yes</v>
      </c>
      <c r="R40" s="2" t="str">
        <f t="shared" si="2"/>
        <v>No</v>
      </c>
      <c r="S40" s="2" t="str">
        <f t="shared" si="3"/>
        <v>Yes</v>
      </c>
      <c r="T40" s="2" t="str">
        <f t="shared" si="4"/>
        <v>Normal</v>
      </c>
      <c r="U40" s="2" t="str">
        <f t="shared" si="5"/>
        <v>No</v>
      </c>
      <c r="V40" s="2" t="str">
        <f t="shared" si="6"/>
        <v>No</v>
      </c>
      <c r="W40" s="2" t="str">
        <f t="shared" si="7"/>
        <v>Regular</v>
      </c>
      <c r="X40" s="2" t="str">
        <f t="shared" si="8"/>
        <v>Discounted Bulk</v>
      </c>
    </row>
    <row r="41" spans="1:24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16</v>
      </c>
      <c r="F41" s="2" t="s">
        <v>17</v>
      </c>
      <c r="G41" s="2" t="s">
        <v>31</v>
      </c>
      <c r="H41" s="2" t="s">
        <v>36</v>
      </c>
      <c r="I41" s="2" t="s">
        <v>27</v>
      </c>
      <c r="J41" s="2" t="s">
        <v>28</v>
      </c>
      <c r="K41" s="2" t="s">
        <v>29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  <c r="Q41" s="2" t="str">
        <f t="shared" si="1"/>
        <v>Yes</v>
      </c>
      <c r="R41" s="2" t="str">
        <f t="shared" si="2"/>
        <v>No</v>
      </c>
      <c r="S41" s="2" t="str">
        <f t="shared" si="3"/>
        <v>No</v>
      </c>
      <c r="T41" s="2" t="str">
        <f t="shared" si="4"/>
        <v>Normal</v>
      </c>
      <c r="U41" s="2" t="str">
        <f t="shared" si="5"/>
        <v>No</v>
      </c>
      <c r="V41" s="2" t="str">
        <f t="shared" si="6"/>
        <v>No</v>
      </c>
      <c r="W41" s="2" t="str">
        <f t="shared" si="7"/>
        <v>Regular</v>
      </c>
      <c r="X41" s="2" t="str">
        <f t="shared" si="8"/>
        <v>Discounted Bulk</v>
      </c>
    </row>
    <row r="42" spans="1:24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38</v>
      </c>
      <c r="F42" s="2" t="s">
        <v>17</v>
      </c>
      <c r="G42" s="2" t="s">
        <v>18</v>
      </c>
      <c r="H42" s="2" t="s">
        <v>26</v>
      </c>
      <c r="I42" s="2" t="s">
        <v>53</v>
      </c>
      <c r="J42" s="2" t="s">
        <v>65</v>
      </c>
      <c r="K42" s="2" t="s">
        <v>22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  <c r="Q42" s="2" t="str">
        <f t="shared" si="1"/>
        <v>Yes</v>
      </c>
      <c r="R42" s="2" t="str">
        <f t="shared" si="2"/>
        <v>No</v>
      </c>
      <c r="S42" s="2" t="str">
        <f t="shared" si="3"/>
        <v>Yes</v>
      </c>
      <c r="T42" s="2" t="str">
        <f t="shared" si="4"/>
        <v>Normal</v>
      </c>
      <c r="U42" s="2" t="str">
        <f t="shared" si="5"/>
        <v>No</v>
      </c>
      <c r="V42" s="2" t="str">
        <f t="shared" si="6"/>
        <v>No</v>
      </c>
      <c r="W42" s="2" t="str">
        <f t="shared" si="7"/>
        <v>Premium</v>
      </c>
      <c r="X42" s="2" t="str">
        <f t="shared" si="8"/>
        <v>Discounted Bulk</v>
      </c>
    </row>
    <row r="43" spans="1:24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16</v>
      </c>
      <c r="F43" s="2" t="s">
        <v>55</v>
      </c>
      <c r="G43" s="2" t="s">
        <v>25</v>
      </c>
      <c r="H43" s="2" t="s">
        <v>36</v>
      </c>
      <c r="I43" s="2" t="s">
        <v>27</v>
      </c>
      <c r="J43" s="2" t="s">
        <v>28</v>
      </c>
      <c r="K43" s="2" t="s">
        <v>34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  <c r="Q43" s="2" t="str">
        <f t="shared" si="1"/>
        <v>No</v>
      </c>
      <c r="R43" s="2" t="str">
        <f t="shared" si="2"/>
        <v>No</v>
      </c>
      <c r="S43" s="2" t="str">
        <f t="shared" si="3"/>
        <v>Yes</v>
      </c>
      <c r="T43" s="2" t="str">
        <f t="shared" si="4"/>
        <v>Normal</v>
      </c>
      <c r="U43" s="2" t="str">
        <f t="shared" si="5"/>
        <v>Yes</v>
      </c>
      <c r="V43" s="2" t="str">
        <f t="shared" si="6"/>
        <v>Yes</v>
      </c>
      <c r="W43" s="2" t="str">
        <f t="shared" si="7"/>
        <v>Regular</v>
      </c>
      <c r="X43" s="2" t="str">
        <f t="shared" si="8"/>
        <v>Discounted Bulk</v>
      </c>
    </row>
    <row r="44" spans="1:24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38</v>
      </c>
      <c r="F44" s="2" t="s">
        <v>24</v>
      </c>
      <c r="G44" s="2" t="s">
        <v>25</v>
      </c>
      <c r="H44" s="2" t="s">
        <v>36</v>
      </c>
      <c r="I44" s="2" t="s">
        <v>32</v>
      </c>
      <c r="J44" s="2" t="s">
        <v>49</v>
      </c>
      <c r="K44" s="2" t="s">
        <v>46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  <c r="Q44" s="2" t="str">
        <f t="shared" si="1"/>
        <v>No</v>
      </c>
      <c r="R44" s="2" t="str">
        <f t="shared" si="2"/>
        <v>No</v>
      </c>
      <c r="S44" s="2" t="str">
        <f t="shared" si="3"/>
        <v>Yes</v>
      </c>
      <c r="T44" s="2" t="str">
        <f t="shared" si="4"/>
        <v>Normal</v>
      </c>
      <c r="U44" s="2" t="str">
        <f t="shared" si="5"/>
        <v>Yes</v>
      </c>
      <c r="V44" s="2" t="str">
        <f t="shared" si="6"/>
        <v>Yes</v>
      </c>
      <c r="W44" s="2" t="str">
        <f t="shared" si="7"/>
        <v>Regular</v>
      </c>
      <c r="X44" s="2" t="str">
        <f t="shared" si="8"/>
        <v>Discounted Bulk</v>
      </c>
    </row>
    <row r="45" spans="1:24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17</v>
      </c>
      <c r="F45" s="2" t="s">
        <v>30</v>
      </c>
      <c r="G45" s="2" t="s">
        <v>18</v>
      </c>
      <c r="H45" s="2" t="s">
        <v>43</v>
      </c>
      <c r="I45" s="2" t="s">
        <v>32</v>
      </c>
      <c r="J45" s="2" t="s">
        <v>49</v>
      </c>
      <c r="K45" s="2" t="s">
        <v>48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  <c r="Q45" s="2" t="str">
        <f t="shared" si="1"/>
        <v>No</v>
      </c>
      <c r="R45" s="2" t="str">
        <f t="shared" si="2"/>
        <v>No</v>
      </c>
      <c r="S45" s="2" t="str">
        <f t="shared" si="3"/>
        <v>Yes</v>
      </c>
      <c r="T45" s="2" t="str">
        <f t="shared" si="4"/>
        <v>Normal</v>
      </c>
      <c r="U45" s="2" t="str">
        <f t="shared" si="5"/>
        <v>No</v>
      </c>
      <c r="V45" s="2" t="str">
        <f t="shared" si="6"/>
        <v>No</v>
      </c>
      <c r="W45" s="2" t="str">
        <f t="shared" si="7"/>
        <v>Regular</v>
      </c>
      <c r="X45" s="2" t="str">
        <f t="shared" si="8"/>
        <v>Discounted Bulk</v>
      </c>
    </row>
    <row r="46" spans="1:24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35</v>
      </c>
      <c r="F46" s="2" t="s">
        <v>17</v>
      </c>
      <c r="G46" s="2" t="s">
        <v>18</v>
      </c>
      <c r="H46" s="2" t="s">
        <v>26</v>
      </c>
      <c r="I46" s="2" t="s">
        <v>27</v>
      </c>
      <c r="J46" s="2" t="s">
        <v>62</v>
      </c>
      <c r="K46" s="2" t="s">
        <v>48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  <c r="Q46" s="2" t="str">
        <f t="shared" si="1"/>
        <v>No</v>
      </c>
      <c r="R46" s="2" t="str">
        <f t="shared" si="2"/>
        <v>No</v>
      </c>
      <c r="S46" s="2" t="str">
        <f t="shared" si="3"/>
        <v>Yes</v>
      </c>
      <c r="T46" s="2" t="str">
        <f t="shared" si="4"/>
        <v>Normal</v>
      </c>
      <c r="U46" s="2" t="str">
        <f t="shared" si="5"/>
        <v>No</v>
      </c>
      <c r="V46" s="2" t="str">
        <f t="shared" si="6"/>
        <v>No</v>
      </c>
      <c r="W46" s="2" t="str">
        <f t="shared" si="7"/>
        <v>Regular</v>
      </c>
      <c r="X46" s="2" t="str">
        <f t="shared" si="8"/>
        <v>Discounted Bulk</v>
      </c>
    </row>
    <row r="47" spans="1:24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38</v>
      </c>
      <c r="F47" s="2" t="s">
        <v>55</v>
      </c>
      <c r="G47" s="2" t="s">
        <v>25</v>
      </c>
      <c r="H47" s="2" t="s">
        <v>19</v>
      </c>
      <c r="I47" s="2" t="s">
        <v>50</v>
      </c>
      <c r="J47" s="2" t="s">
        <v>52</v>
      </c>
      <c r="K47" s="2" t="s">
        <v>46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  <c r="Q47" s="2" t="str">
        <f t="shared" si="1"/>
        <v>No</v>
      </c>
      <c r="R47" s="2" t="str">
        <f t="shared" si="2"/>
        <v>Yes</v>
      </c>
      <c r="S47" s="2" t="str">
        <f t="shared" si="3"/>
        <v>Yes</v>
      </c>
      <c r="T47" s="2" t="str">
        <f t="shared" si="4"/>
        <v>Normal</v>
      </c>
      <c r="U47" s="2" t="str">
        <f t="shared" si="5"/>
        <v>Yes</v>
      </c>
      <c r="V47" s="2" t="str">
        <f t="shared" si="6"/>
        <v>Yes</v>
      </c>
      <c r="W47" s="2" t="str">
        <f t="shared" si="7"/>
        <v>Regular</v>
      </c>
      <c r="X47" s="2" t="str">
        <f t="shared" si="8"/>
        <v>Non Discounted Bulk</v>
      </c>
    </row>
    <row r="48" spans="1:24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41</v>
      </c>
      <c r="F48" s="2" t="s">
        <v>42</v>
      </c>
      <c r="G48" s="2" t="s">
        <v>18</v>
      </c>
      <c r="H48" s="2" t="s">
        <v>19</v>
      </c>
      <c r="I48" s="2" t="s">
        <v>58</v>
      </c>
      <c r="J48" s="2" t="s">
        <v>63</v>
      </c>
      <c r="K48" s="2" t="s">
        <v>48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  <c r="Q48" s="2" t="str">
        <f t="shared" si="1"/>
        <v>No</v>
      </c>
      <c r="R48" s="2" t="str">
        <f t="shared" si="2"/>
        <v>No</v>
      </c>
      <c r="S48" s="2" t="str">
        <f t="shared" si="3"/>
        <v>Yes</v>
      </c>
      <c r="T48" s="2" t="str">
        <f t="shared" si="4"/>
        <v>Normal</v>
      </c>
      <c r="U48" s="2" t="str">
        <f t="shared" si="5"/>
        <v>No</v>
      </c>
      <c r="V48" s="2" t="str">
        <f t="shared" si="6"/>
        <v>No</v>
      </c>
      <c r="W48" s="2" t="str">
        <f t="shared" si="7"/>
        <v>Regular</v>
      </c>
      <c r="X48" s="2" t="str">
        <f t="shared" si="8"/>
        <v>Discounted Bulk</v>
      </c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23</v>
      </c>
      <c r="F49" s="2" t="s">
        <v>39</v>
      </c>
      <c r="G49" s="2" t="s">
        <v>25</v>
      </c>
      <c r="H49" s="2" t="s">
        <v>45</v>
      </c>
      <c r="I49" s="2" t="s">
        <v>32</v>
      </c>
      <c r="J49" s="2" t="s">
        <v>66</v>
      </c>
      <c r="K49" s="2" t="s">
        <v>29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  <c r="Q49" s="2" t="str">
        <f t="shared" si="1"/>
        <v>Yes</v>
      </c>
      <c r="R49" s="2" t="str">
        <f t="shared" si="2"/>
        <v>No</v>
      </c>
      <c r="S49" s="2" t="str">
        <f t="shared" si="3"/>
        <v>Yes</v>
      </c>
      <c r="T49" s="2" t="str">
        <f t="shared" si="4"/>
        <v>Normal</v>
      </c>
      <c r="U49" s="2" t="str">
        <f t="shared" si="5"/>
        <v>Yes</v>
      </c>
      <c r="V49" s="2" t="str">
        <f t="shared" si="6"/>
        <v>Yes</v>
      </c>
      <c r="W49" s="2" t="str">
        <f t="shared" si="7"/>
        <v>Regular</v>
      </c>
      <c r="X49" s="2" t="str">
        <f t="shared" si="8"/>
        <v>Discounted Bulk</v>
      </c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47</v>
      </c>
      <c r="F50" s="2" t="s">
        <v>30</v>
      </c>
      <c r="G50" s="2" t="s">
        <v>18</v>
      </c>
      <c r="H50" s="2" t="s">
        <v>19</v>
      </c>
      <c r="I50" s="2" t="s">
        <v>27</v>
      </c>
      <c r="J50" s="2" t="s">
        <v>28</v>
      </c>
      <c r="K50" s="2" t="s">
        <v>22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  <c r="Q50" s="2" t="str">
        <f t="shared" si="1"/>
        <v>Yes</v>
      </c>
      <c r="R50" s="2" t="str">
        <f t="shared" si="2"/>
        <v>No</v>
      </c>
      <c r="S50" s="2" t="str">
        <f t="shared" si="3"/>
        <v>Yes</v>
      </c>
      <c r="T50" s="2" t="str">
        <f t="shared" si="4"/>
        <v>Normal</v>
      </c>
      <c r="U50" s="2" t="str">
        <f t="shared" si="5"/>
        <v>No</v>
      </c>
      <c r="V50" s="2" t="str">
        <f t="shared" si="6"/>
        <v>No</v>
      </c>
      <c r="W50" s="2" t="str">
        <f t="shared" si="7"/>
        <v>Regular</v>
      </c>
      <c r="X50" s="2" t="str">
        <f t="shared" si="8"/>
        <v>Discounted Bulk</v>
      </c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41</v>
      </c>
      <c r="F51" s="2" t="s">
        <v>17</v>
      </c>
      <c r="G51" s="2" t="s">
        <v>18</v>
      </c>
      <c r="H51" s="2" t="s">
        <v>43</v>
      </c>
      <c r="I51" s="2" t="s">
        <v>27</v>
      </c>
      <c r="J51" s="2" t="s">
        <v>62</v>
      </c>
      <c r="K51" s="2" t="s">
        <v>29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  <c r="Q51" s="2" t="str">
        <f t="shared" si="1"/>
        <v>No</v>
      </c>
      <c r="R51" s="2" t="str">
        <f t="shared" si="2"/>
        <v>No</v>
      </c>
      <c r="S51" s="2" t="str">
        <f t="shared" si="3"/>
        <v>Yes</v>
      </c>
      <c r="T51" s="2" t="str">
        <f t="shared" si="4"/>
        <v>Normal</v>
      </c>
      <c r="U51" s="2" t="str">
        <f t="shared" si="5"/>
        <v>No</v>
      </c>
      <c r="V51" s="2" t="str">
        <f t="shared" si="6"/>
        <v>No</v>
      </c>
      <c r="W51" s="2" t="str">
        <f t="shared" si="7"/>
        <v>Regular</v>
      </c>
      <c r="X51" s="2" t="str">
        <f t="shared" si="8"/>
        <v>Discounted Bulk</v>
      </c>
    </row>
    <row r="52" spans="1:24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41</v>
      </c>
      <c r="F52" s="2" t="s">
        <v>24</v>
      </c>
      <c r="G52" s="2" t="s">
        <v>18</v>
      </c>
      <c r="H52" s="2" t="s">
        <v>36</v>
      </c>
      <c r="I52" s="2" t="s">
        <v>20</v>
      </c>
      <c r="J52" s="2" t="s">
        <v>67</v>
      </c>
      <c r="K52" s="2" t="s">
        <v>48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  <c r="Q52" s="2" t="str">
        <f t="shared" si="1"/>
        <v>No</v>
      </c>
      <c r="R52" s="2" t="str">
        <f t="shared" si="2"/>
        <v>No</v>
      </c>
      <c r="S52" s="2" t="str">
        <f t="shared" si="3"/>
        <v>Yes</v>
      </c>
      <c r="T52" s="2" t="str">
        <f t="shared" si="4"/>
        <v>Normal</v>
      </c>
      <c r="U52" s="2" t="str">
        <f t="shared" si="5"/>
        <v>No</v>
      </c>
      <c r="V52" s="2" t="str">
        <f t="shared" si="6"/>
        <v>No</v>
      </c>
      <c r="W52" s="2" t="str">
        <f t="shared" si="7"/>
        <v>Regular</v>
      </c>
      <c r="X52" s="2" t="str">
        <f t="shared" si="8"/>
        <v>Discounted Bulk</v>
      </c>
    </row>
    <row r="53" spans="1:24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23</v>
      </c>
      <c r="F53" s="2" t="s">
        <v>55</v>
      </c>
      <c r="G53" s="2" t="s">
        <v>25</v>
      </c>
      <c r="H53" s="2" t="s">
        <v>36</v>
      </c>
      <c r="I53" s="2" t="s">
        <v>58</v>
      </c>
      <c r="J53" s="2" t="s">
        <v>63</v>
      </c>
      <c r="K53" s="2" t="s">
        <v>34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  <c r="Q53" s="2" t="str">
        <f t="shared" si="1"/>
        <v>No</v>
      </c>
      <c r="R53" s="2" t="str">
        <f t="shared" si="2"/>
        <v>No</v>
      </c>
      <c r="S53" s="2" t="str">
        <f t="shared" si="3"/>
        <v>Yes</v>
      </c>
      <c r="T53" s="2" t="str">
        <f t="shared" si="4"/>
        <v>Normal</v>
      </c>
      <c r="U53" s="2" t="str">
        <f t="shared" si="5"/>
        <v>Yes</v>
      </c>
      <c r="V53" s="2" t="str">
        <f t="shared" si="6"/>
        <v>Yes</v>
      </c>
      <c r="W53" s="2" t="str">
        <f t="shared" si="7"/>
        <v>Regular</v>
      </c>
      <c r="X53" s="2" t="str">
        <f t="shared" si="8"/>
        <v>Discounted Bulk</v>
      </c>
    </row>
    <row r="54" spans="1:24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47</v>
      </c>
      <c r="F54" s="2" t="s">
        <v>17</v>
      </c>
      <c r="G54" s="2" t="s">
        <v>18</v>
      </c>
      <c r="H54" s="2" t="s">
        <v>36</v>
      </c>
      <c r="I54" s="2" t="s">
        <v>53</v>
      </c>
      <c r="J54" s="2" t="s">
        <v>65</v>
      </c>
      <c r="K54" s="2" t="s">
        <v>22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  <c r="Q54" s="2" t="str">
        <f t="shared" si="1"/>
        <v>Yes</v>
      </c>
      <c r="R54" s="2" t="str">
        <f t="shared" si="2"/>
        <v>No</v>
      </c>
      <c r="S54" s="2" t="str">
        <f t="shared" si="3"/>
        <v>Yes</v>
      </c>
      <c r="T54" s="2" t="str">
        <f t="shared" si="4"/>
        <v>Normal</v>
      </c>
      <c r="U54" s="2" t="str">
        <f t="shared" si="5"/>
        <v>No</v>
      </c>
      <c r="V54" s="2" t="str">
        <f t="shared" si="6"/>
        <v>No</v>
      </c>
      <c r="W54" s="2" t="str">
        <f t="shared" si="7"/>
        <v>Regular</v>
      </c>
      <c r="X54" s="2" t="str">
        <f t="shared" si="8"/>
        <v>Discounted Bulk</v>
      </c>
    </row>
    <row r="55" spans="1:24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41</v>
      </c>
      <c r="F55" s="2" t="s">
        <v>24</v>
      </c>
      <c r="G55" s="2" t="s">
        <v>25</v>
      </c>
      <c r="H55" s="2" t="s">
        <v>26</v>
      </c>
      <c r="I55" s="2" t="s">
        <v>50</v>
      </c>
      <c r="J55" s="2" t="s">
        <v>51</v>
      </c>
      <c r="K55" s="2" t="s">
        <v>22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  <c r="Q55" s="2" t="str">
        <f t="shared" si="1"/>
        <v>Yes</v>
      </c>
      <c r="R55" s="2" t="str">
        <f t="shared" si="2"/>
        <v>Yes</v>
      </c>
      <c r="S55" s="2" t="str">
        <f t="shared" si="3"/>
        <v>Yes</v>
      </c>
      <c r="T55" s="2" t="str">
        <f t="shared" si="4"/>
        <v>Normal</v>
      </c>
      <c r="U55" s="2" t="str">
        <f t="shared" si="5"/>
        <v>Yes</v>
      </c>
      <c r="V55" s="2" t="str">
        <f t="shared" si="6"/>
        <v>Yes</v>
      </c>
      <c r="W55" s="2" t="str">
        <f t="shared" si="7"/>
        <v>Regular</v>
      </c>
      <c r="X55" s="2" t="str">
        <f t="shared" si="8"/>
        <v>Non Discounted Bulk</v>
      </c>
    </row>
    <row r="56" spans="1:24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38</v>
      </c>
      <c r="F56" s="2" t="s">
        <v>17</v>
      </c>
      <c r="G56" s="2" t="s">
        <v>25</v>
      </c>
      <c r="H56" s="2" t="s">
        <v>19</v>
      </c>
      <c r="I56" s="2" t="s">
        <v>53</v>
      </c>
      <c r="J56" s="2" t="s">
        <v>65</v>
      </c>
      <c r="K56" s="2" t="s">
        <v>46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  <c r="Q56" s="2" t="str">
        <f t="shared" si="1"/>
        <v>No</v>
      </c>
      <c r="R56" s="2" t="str">
        <f t="shared" si="2"/>
        <v>No</v>
      </c>
      <c r="S56" s="2" t="str">
        <f t="shared" si="3"/>
        <v>Yes</v>
      </c>
      <c r="T56" s="2" t="str">
        <f t="shared" si="4"/>
        <v>Normal</v>
      </c>
      <c r="U56" s="2" t="str">
        <f t="shared" si="5"/>
        <v>Yes</v>
      </c>
      <c r="V56" s="2" t="str">
        <f t="shared" si="6"/>
        <v>Yes</v>
      </c>
      <c r="W56" s="2" t="str">
        <f t="shared" si="7"/>
        <v>Regular</v>
      </c>
      <c r="X56" s="2" t="str">
        <f t="shared" si="8"/>
        <v>Discounted Bulk</v>
      </c>
    </row>
    <row r="57" spans="1:24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38</v>
      </c>
      <c r="F57" s="2" t="s">
        <v>30</v>
      </c>
      <c r="G57" s="2" t="s">
        <v>18</v>
      </c>
      <c r="H57" s="2" t="s">
        <v>43</v>
      </c>
      <c r="I57" s="2" t="s">
        <v>58</v>
      </c>
      <c r="J57" s="2" t="s">
        <v>63</v>
      </c>
      <c r="K57" s="2" t="s">
        <v>46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  <c r="Q57" s="2" t="str">
        <f t="shared" si="1"/>
        <v>Yes</v>
      </c>
      <c r="R57" s="2" t="str">
        <f t="shared" si="2"/>
        <v>No</v>
      </c>
      <c r="S57" s="2" t="str">
        <f t="shared" si="3"/>
        <v>Yes</v>
      </c>
      <c r="T57" s="2" t="str">
        <f t="shared" si="4"/>
        <v>Normal</v>
      </c>
      <c r="U57" s="2" t="str">
        <f t="shared" si="5"/>
        <v>No</v>
      </c>
      <c r="V57" s="2" t="str">
        <f t="shared" si="6"/>
        <v>No</v>
      </c>
      <c r="W57" s="2" t="str">
        <f t="shared" si="7"/>
        <v>Regular</v>
      </c>
      <c r="X57" s="2" t="str">
        <f t="shared" si="8"/>
        <v>Discounted Bulk</v>
      </c>
    </row>
    <row r="58" spans="1:24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38</v>
      </c>
      <c r="F58" s="2" t="s">
        <v>30</v>
      </c>
      <c r="G58" s="2" t="s">
        <v>18</v>
      </c>
      <c r="H58" s="2" t="s">
        <v>26</v>
      </c>
      <c r="I58" s="2" t="s">
        <v>58</v>
      </c>
      <c r="J58" s="2" t="s">
        <v>59</v>
      </c>
      <c r="K58" s="2" t="s">
        <v>34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  <c r="Q58" s="2" t="str">
        <f t="shared" si="1"/>
        <v>No</v>
      </c>
      <c r="R58" s="2" t="str">
        <f t="shared" si="2"/>
        <v>Yes</v>
      </c>
      <c r="S58" s="2" t="str">
        <f t="shared" si="3"/>
        <v>Yes</v>
      </c>
      <c r="T58" s="2" t="str">
        <f t="shared" si="4"/>
        <v>Normal</v>
      </c>
      <c r="U58" s="2" t="str">
        <f t="shared" si="5"/>
        <v>No</v>
      </c>
      <c r="V58" s="2" t="str">
        <f t="shared" si="6"/>
        <v>No</v>
      </c>
      <c r="W58" s="2" t="str">
        <f t="shared" si="7"/>
        <v>Regular</v>
      </c>
      <c r="X58" s="2" t="str">
        <f t="shared" si="8"/>
        <v>Non Discounted Bulk</v>
      </c>
    </row>
    <row r="59" spans="1:24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47</v>
      </c>
      <c r="F59" s="2" t="s">
        <v>30</v>
      </c>
      <c r="G59" s="2" t="s">
        <v>25</v>
      </c>
      <c r="H59" s="2" t="s">
        <v>45</v>
      </c>
      <c r="I59" s="2" t="s">
        <v>58</v>
      </c>
      <c r="J59" s="2" t="s">
        <v>60</v>
      </c>
      <c r="K59" s="2" t="s">
        <v>22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  <c r="Q59" s="2" t="str">
        <f t="shared" si="1"/>
        <v>No</v>
      </c>
      <c r="R59" s="2" t="str">
        <f t="shared" si="2"/>
        <v>No</v>
      </c>
      <c r="S59" s="2" t="str">
        <f t="shared" si="3"/>
        <v>Yes</v>
      </c>
      <c r="T59" s="2" t="str">
        <f t="shared" si="4"/>
        <v>Normal</v>
      </c>
      <c r="U59" s="2" t="str">
        <f t="shared" si="5"/>
        <v>Yes</v>
      </c>
      <c r="V59" s="2" t="str">
        <f t="shared" si="6"/>
        <v>Yes</v>
      </c>
      <c r="W59" s="2" t="str">
        <f t="shared" si="7"/>
        <v>Regular</v>
      </c>
      <c r="X59" s="2" t="str">
        <f t="shared" si="8"/>
        <v>Non Discounted Bulk</v>
      </c>
    </row>
    <row r="60" spans="1:24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41</v>
      </c>
      <c r="F60" s="2" t="s">
        <v>42</v>
      </c>
      <c r="G60" s="2" t="s">
        <v>25</v>
      </c>
      <c r="H60" s="2" t="s">
        <v>43</v>
      </c>
      <c r="I60" s="2" t="s">
        <v>53</v>
      </c>
      <c r="J60" s="2" t="s">
        <v>65</v>
      </c>
      <c r="K60" s="2" t="s">
        <v>34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  <c r="Q60" s="2" t="str">
        <f t="shared" si="1"/>
        <v>Yes</v>
      </c>
      <c r="R60" s="2" t="str">
        <f t="shared" si="2"/>
        <v>No</v>
      </c>
      <c r="S60" s="2" t="str">
        <f t="shared" si="3"/>
        <v>Yes</v>
      </c>
      <c r="T60" s="2" t="str">
        <f t="shared" si="4"/>
        <v>Normal</v>
      </c>
      <c r="U60" s="2" t="str">
        <f t="shared" si="5"/>
        <v>Yes</v>
      </c>
      <c r="V60" s="2" t="str">
        <f t="shared" si="6"/>
        <v>Yes</v>
      </c>
      <c r="W60" s="2" t="str">
        <f t="shared" si="7"/>
        <v>Premium</v>
      </c>
      <c r="X60" s="2" t="str">
        <f t="shared" si="8"/>
        <v>Discounted Bulk</v>
      </c>
    </row>
    <row r="61" spans="1:24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47</v>
      </c>
      <c r="F61" s="2" t="s">
        <v>42</v>
      </c>
      <c r="G61" s="2" t="s">
        <v>31</v>
      </c>
      <c r="H61" s="2" t="s">
        <v>43</v>
      </c>
      <c r="I61" s="2" t="s">
        <v>58</v>
      </c>
      <c r="J61" s="2" t="s">
        <v>63</v>
      </c>
      <c r="K61" s="2" t="s">
        <v>46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  <c r="Q61" s="2" t="str">
        <f t="shared" si="1"/>
        <v>Yes</v>
      </c>
      <c r="R61" s="2" t="str">
        <f t="shared" si="2"/>
        <v>Yes</v>
      </c>
      <c r="S61" s="2" t="str">
        <f t="shared" si="3"/>
        <v>No</v>
      </c>
      <c r="T61" s="2" t="str">
        <f t="shared" si="4"/>
        <v>Normal</v>
      </c>
      <c r="U61" s="2" t="str">
        <f t="shared" si="5"/>
        <v>No</v>
      </c>
      <c r="V61" s="2" t="str">
        <f t="shared" si="6"/>
        <v>No</v>
      </c>
      <c r="W61" s="2" t="str">
        <f t="shared" si="7"/>
        <v>Regular</v>
      </c>
      <c r="X61" s="2" t="str">
        <f t="shared" si="8"/>
        <v>Non Discounted Bulk</v>
      </c>
    </row>
    <row r="62" spans="1:24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38</v>
      </c>
      <c r="F62" s="2" t="s">
        <v>55</v>
      </c>
      <c r="G62" s="2" t="s">
        <v>25</v>
      </c>
      <c r="H62" s="2" t="s">
        <v>43</v>
      </c>
      <c r="I62" s="2" t="s">
        <v>27</v>
      </c>
      <c r="J62" s="2" t="s">
        <v>37</v>
      </c>
      <c r="K62" s="2" t="s">
        <v>46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  <c r="Q62" s="2" t="str">
        <f t="shared" si="1"/>
        <v>No</v>
      </c>
      <c r="R62" s="2" t="str">
        <f t="shared" si="2"/>
        <v>No</v>
      </c>
      <c r="S62" s="2" t="str">
        <f t="shared" si="3"/>
        <v>Yes</v>
      </c>
      <c r="T62" s="2" t="str">
        <f t="shared" si="4"/>
        <v>Normal</v>
      </c>
      <c r="U62" s="2" t="str">
        <f t="shared" si="5"/>
        <v>Yes</v>
      </c>
      <c r="V62" s="2" t="str">
        <f t="shared" si="6"/>
        <v>Yes</v>
      </c>
      <c r="W62" s="2" t="str">
        <f t="shared" si="7"/>
        <v>Regular</v>
      </c>
      <c r="X62" s="2" t="str">
        <f t="shared" si="8"/>
        <v>Discounted Bulk</v>
      </c>
    </row>
    <row r="63" spans="1:24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23</v>
      </c>
      <c r="F63" s="2" t="s">
        <v>30</v>
      </c>
      <c r="G63" s="2" t="s">
        <v>31</v>
      </c>
      <c r="H63" s="2" t="s">
        <v>36</v>
      </c>
      <c r="I63" s="2" t="s">
        <v>53</v>
      </c>
      <c r="J63" s="2" t="s">
        <v>57</v>
      </c>
      <c r="K63" s="2" t="s">
        <v>22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  <c r="Q63" s="2" t="str">
        <f t="shared" si="1"/>
        <v>Yes</v>
      </c>
      <c r="R63" s="2" t="str">
        <f t="shared" si="2"/>
        <v>No</v>
      </c>
      <c r="S63" s="2" t="str">
        <f t="shared" si="3"/>
        <v>No</v>
      </c>
      <c r="T63" s="2" t="str">
        <f t="shared" si="4"/>
        <v>Normal</v>
      </c>
      <c r="U63" s="2" t="str">
        <f t="shared" si="5"/>
        <v>No</v>
      </c>
      <c r="V63" s="2" t="str">
        <f t="shared" si="6"/>
        <v>No</v>
      </c>
      <c r="W63" s="2" t="str">
        <f t="shared" si="7"/>
        <v>Premium</v>
      </c>
      <c r="X63" s="2" t="str">
        <f t="shared" si="8"/>
        <v>Non Discounted Bulk</v>
      </c>
    </row>
    <row r="64" spans="1:24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41</v>
      </c>
      <c r="F64" s="2" t="s">
        <v>24</v>
      </c>
      <c r="G64" s="2" t="s">
        <v>31</v>
      </c>
      <c r="H64" s="2" t="s">
        <v>43</v>
      </c>
      <c r="I64" s="2" t="s">
        <v>58</v>
      </c>
      <c r="J64" s="2" t="s">
        <v>63</v>
      </c>
      <c r="K64" s="2" t="s">
        <v>29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  <c r="Q64" s="2" t="str">
        <f t="shared" si="1"/>
        <v>Yes</v>
      </c>
      <c r="R64" s="2" t="str">
        <f t="shared" si="2"/>
        <v>No</v>
      </c>
      <c r="S64" s="2" t="str">
        <f t="shared" si="3"/>
        <v>No</v>
      </c>
      <c r="T64" s="2" t="str">
        <f t="shared" si="4"/>
        <v>Normal</v>
      </c>
      <c r="U64" s="2" t="str">
        <f t="shared" si="5"/>
        <v>No</v>
      </c>
      <c r="V64" s="2" t="str">
        <f t="shared" si="6"/>
        <v>No</v>
      </c>
      <c r="W64" s="2" t="str">
        <f t="shared" si="7"/>
        <v>Regular</v>
      </c>
      <c r="X64" s="2" t="str">
        <f t="shared" si="8"/>
        <v>Discounted Bulk</v>
      </c>
    </row>
    <row r="65" spans="1:24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41</v>
      </c>
      <c r="F65" s="2" t="s">
        <v>17</v>
      </c>
      <c r="G65" s="2" t="s">
        <v>31</v>
      </c>
      <c r="H65" s="2" t="s">
        <v>19</v>
      </c>
      <c r="I65" s="2" t="s">
        <v>27</v>
      </c>
      <c r="J65" s="2" t="s">
        <v>37</v>
      </c>
      <c r="K65" s="2" t="s">
        <v>48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  <c r="Q65" s="2" t="str">
        <f t="shared" si="1"/>
        <v>No</v>
      </c>
      <c r="R65" s="2" t="str">
        <f t="shared" si="2"/>
        <v>No</v>
      </c>
      <c r="S65" s="2" t="str">
        <f t="shared" si="3"/>
        <v>No</v>
      </c>
      <c r="T65" s="2" t="str">
        <f t="shared" si="4"/>
        <v>Normal</v>
      </c>
      <c r="U65" s="2" t="str">
        <f t="shared" si="5"/>
        <v>No</v>
      </c>
      <c r="V65" s="2" t="str">
        <f t="shared" si="6"/>
        <v>No</v>
      </c>
      <c r="W65" s="2" t="str">
        <f t="shared" si="7"/>
        <v>Regular</v>
      </c>
      <c r="X65" s="2" t="str">
        <f t="shared" si="8"/>
        <v>Discounted Bulk</v>
      </c>
    </row>
    <row r="66" spans="1:24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16</v>
      </c>
      <c r="F66" s="2" t="s">
        <v>39</v>
      </c>
      <c r="G66" s="2" t="s">
        <v>18</v>
      </c>
      <c r="H66" s="2" t="s">
        <v>43</v>
      </c>
      <c r="I66" s="2" t="s">
        <v>20</v>
      </c>
      <c r="J66" s="2" t="s">
        <v>44</v>
      </c>
      <c r="K66" s="2" t="s">
        <v>46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  <c r="Q66" s="2" t="str">
        <f t="shared" si="1"/>
        <v>No</v>
      </c>
      <c r="R66" s="2" t="str">
        <f t="shared" si="2"/>
        <v>No</v>
      </c>
      <c r="S66" s="2" t="str">
        <f t="shared" si="3"/>
        <v>Yes</v>
      </c>
      <c r="T66" s="2" t="str">
        <f t="shared" si="4"/>
        <v>Normal</v>
      </c>
      <c r="U66" s="2" t="str">
        <f t="shared" si="5"/>
        <v>No</v>
      </c>
      <c r="V66" s="2" t="str">
        <f t="shared" si="6"/>
        <v>No</v>
      </c>
      <c r="W66" s="2" t="str">
        <f t="shared" si="7"/>
        <v>Regular</v>
      </c>
      <c r="X66" s="2" t="str">
        <f t="shared" si="8"/>
        <v>Discounted Bulk</v>
      </c>
    </row>
    <row r="67" spans="1:24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16</v>
      </c>
      <c r="F67" s="2" t="s">
        <v>24</v>
      </c>
      <c r="G67" s="2" t="s">
        <v>18</v>
      </c>
      <c r="H67" s="2" t="s">
        <v>36</v>
      </c>
      <c r="I67" s="2" t="s">
        <v>58</v>
      </c>
      <c r="J67" s="2" t="s">
        <v>68</v>
      </c>
      <c r="K67" s="2" t="s">
        <v>46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9">L67*M67</f>
        <v>30157.68</v>
      </c>
      <c r="Q67" s="2" t="str">
        <f t="shared" ref="Q67:Q130" si="10">IF(AND(L67&gt;=5,O67&gt;=10000),"Yes","No")</f>
        <v>Yes</v>
      </c>
      <c r="R67" s="2" t="str">
        <f t="shared" ref="R67:R130" si="11">IF(AND(L67&gt;=8,N67&gt;=10),"Yes","No")</f>
        <v>No</v>
      </c>
      <c r="S67" s="2" t="str">
        <f t="shared" ref="S67:S130" si="12">IF(OR(G67="Website",G67="Mobile App"),"Yes","No")</f>
        <v>Yes</v>
      </c>
      <c r="T67" s="2" t="str">
        <f t="shared" ref="T67:T130" si="13">IF(AND(L67&lt;3,O67&lt;=1000),"Special Attention","Normal")</f>
        <v>Normal</v>
      </c>
      <c r="U67" s="2" t="str">
        <f t="shared" ref="U67:U130" si="14">IF(NOT(G67="Website"),"No","Yes")</f>
        <v>No</v>
      </c>
      <c r="V67" s="2" t="str">
        <f t="shared" ref="V67:V130" si="15">IF((G67&lt;&gt;"Website"), "No","Yes")</f>
        <v>No</v>
      </c>
      <c r="W67" s="2" t="str">
        <f t="shared" ref="W67:W130" si="16">IF(AND(O67&gt;15000,OR(I67="Electronics",I67="Beauty")),"Premium","Regular")</f>
        <v>Regular</v>
      </c>
      <c r="X67" s="2" t="str">
        <f t="shared" ref="X67:X130" si="17">IF(AND(L67&gt;=8,NOT(N67=0)),"Non Discounted Bulk","Discounted Bulk")</f>
        <v>Non Discounted Bulk</v>
      </c>
    </row>
    <row r="68" spans="1:24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17</v>
      </c>
      <c r="F68" s="2" t="s">
        <v>42</v>
      </c>
      <c r="G68" s="2" t="s">
        <v>25</v>
      </c>
      <c r="H68" s="2" t="s">
        <v>43</v>
      </c>
      <c r="I68" s="2" t="s">
        <v>53</v>
      </c>
      <c r="J68" s="2" t="s">
        <v>65</v>
      </c>
      <c r="K68" s="2" t="s">
        <v>29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9"/>
        <v>330.13</v>
      </c>
      <c r="Q68" s="2" t="str">
        <f t="shared" si="10"/>
        <v>No</v>
      </c>
      <c r="R68" s="2" t="str">
        <f t="shared" si="11"/>
        <v>No</v>
      </c>
      <c r="S68" s="2" t="str">
        <f t="shared" si="12"/>
        <v>Yes</v>
      </c>
      <c r="T68" s="2" t="str">
        <f t="shared" si="13"/>
        <v>Special Attention</v>
      </c>
      <c r="U68" s="2" t="str">
        <f t="shared" si="14"/>
        <v>Yes</v>
      </c>
      <c r="V68" s="2" t="str">
        <f t="shared" si="15"/>
        <v>Yes</v>
      </c>
      <c r="W68" s="2" t="str">
        <f t="shared" si="16"/>
        <v>Regular</v>
      </c>
      <c r="X68" s="2" t="str">
        <f t="shared" si="17"/>
        <v>Discounted Bulk</v>
      </c>
    </row>
    <row r="69" spans="1:24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35</v>
      </c>
      <c r="F69" s="2" t="s">
        <v>42</v>
      </c>
      <c r="G69" s="2" t="s">
        <v>31</v>
      </c>
      <c r="H69" s="2" t="s">
        <v>45</v>
      </c>
      <c r="I69" s="2" t="s">
        <v>32</v>
      </c>
      <c r="J69" s="2" t="s">
        <v>49</v>
      </c>
      <c r="K69" s="2" t="s">
        <v>29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9"/>
        <v>8283.9600000000009</v>
      </c>
      <c r="Q69" s="2" t="str">
        <f t="shared" si="10"/>
        <v>No</v>
      </c>
      <c r="R69" s="2" t="str">
        <f t="shared" si="11"/>
        <v>No</v>
      </c>
      <c r="S69" s="2" t="str">
        <f t="shared" si="12"/>
        <v>No</v>
      </c>
      <c r="T69" s="2" t="str">
        <f t="shared" si="13"/>
        <v>Normal</v>
      </c>
      <c r="U69" s="2" t="str">
        <f t="shared" si="14"/>
        <v>No</v>
      </c>
      <c r="V69" s="2" t="str">
        <f t="shared" si="15"/>
        <v>No</v>
      </c>
      <c r="W69" s="2" t="str">
        <f t="shared" si="16"/>
        <v>Regular</v>
      </c>
      <c r="X69" s="2" t="str">
        <f t="shared" si="17"/>
        <v>Discounted Bulk</v>
      </c>
    </row>
    <row r="70" spans="1:24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16</v>
      </c>
      <c r="F70" s="2" t="s">
        <v>24</v>
      </c>
      <c r="G70" s="2" t="s">
        <v>18</v>
      </c>
      <c r="H70" s="2" t="s">
        <v>45</v>
      </c>
      <c r="I70" s="2" t="s">
        <v>58</v>
      </c>
      <c r="J70" s="2" t="s">
        <v>63</v>
      </c>
      <c r="K70" s="2" t="s">
        <v>34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9"/>
        <v>11021.880000000001</v>
      </c>
      <c r="Q70" s="2" t="str">
        <f t="shared" si="10"/>
        <v>Yes</v>
      </c>
      <c r="R70" s="2" t="str">
        <f t="shared" si="11"/>
        <v>No</v>
      </c>
      <c r="S70" s="2" t="str">
        <f t="shared" si="12"/>
        <v>Yes</v>
      </c>
      <c r="T70" s="2" t="str">
        <f t="shared" si="13"/>
        <v>Normal</v>
      </c>
      <c r="U70" s="2" t="str">
        <f t="shared" si="14"/>
        <v>No</v>
      </c>
      <c r="V70" s="2" t="str">
        <f t="shared" si="15"/>
        <v>No</v>
      </c>
      <c r="W70" s="2" t="str">
        <f t="shared" si="16"/>
        <v>Regular</v>
      </c>
      <c r="X70" s="2" t="str">
        <f t="shared" si="17"/>
        <v>Discounted Bulk</v>
      </c>
    </row>
    <row r="71" spans="1:24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47</v>
      </c>
      <c r="F71" s="2" t="s">
        <v>42</v>
      </c>
      <c r="G71" s="2" t="s">
        <v>18</v>
      </c>
      <c r="H71" s="2" t="s">
        <v>36</v>
      </c>
      <c r="I71" s="2" t="s">
        <v>32</v>
      </c>
      <c r="J71" s="2" t="s">
        <v>40</v>
      </c>
      <c r="K71" s="2" t="s">
        <v>34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9"/>
        <v>14448.6</v>
      </c>
      <c r="Q71" s="2" t="str">
        <f t="shared" si="10"/>
        <v>No</v>
      </c>
      <c r="R71" s="2" t="str">
        <f t="shared" si="11"/>
        <v>No</v>
      </c>
      <c r="S71" s="2" t="str">
        <f t="shared" si="12"/>
        <v>Yes</v>
      </c>
      <c r="T71" s="2" t="str">
        <f t="shared" si="13"/>
        <v>Normal</v>
      </c>
      <c r="U71" s="2" t="str">
        <f t="shared" si="14"/>
        <v>No</v>
      </c>
      <c r="V71" s="2" t="str">
        <f t="shared" si="15"/>
        <v>No</v>
      </c>
      <c r="W71" s="2" t="str">
        <f t="shared" si="16"/>
        <v>Regular</v>
      </c>
      <c r="X71" s="2" t="str">
        <f t="shared" si="17"/>
        <v>Discounted Bulk</v>
      </c>
    </row>
    <row r="72" spans="1:24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16</v>
      </c>
      <c r="F72" s="2" t="s">
        <v>30</v>
      </c>
      <c r="G72" s="2" t="s">
        <v>18</v>
      </c>
      <c r="H72" s="2" t="s">
        <v>19</v>
      </c>
      <c r="I72" s="2" t="s">
        <v>27</v>
      </c>
      <c r="J72" s="2" t="s">
        <v>62</v>
      </c>
      <c r="K72" s="2" t="s">
        <v>48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9"/>
        <v>11564.130000000001</v>
      </c>
      <c r="Q72" s="2" t="str">
        <f t="shared" si="10"/>
        <v>No</v>
      </c>
      <c r="R72" s="2" t="str">
        <f t="shared" si="11"/>
        <v>No</v>
      </c>
      <c r="S72" s="2" t="str">
        <f t="shared" si="12"/>
        <v>Yes</v>
      </c>
      <c r="T72" s="2" t="str">
        <f t="shared" si="13"/>
        <v>Normal</v>
      </c>
      <c r="U72" s="2" t="str">
        <f t="shared" si="14"/>
        <v>No</v>
      </c>
      <c r="V72" s="2" t="str">
        <f t="shared" si="15"/>
        <v>No</v>
      </c>
      <c r="W72" s="2" t="str">
        <f t="shared" si="16"/>
        <v>Regular</v>
      </c>
      <c r="X72" s="2" t="str">
        <f t="shared" si="17"/>
        <v>Discounted Bulk</v>
      </c>
    </row>
    <row r="73" spans="1:24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17</v>
      </c>
      <c r="F73" s="2" t="s">
        <v>55</v>
      </c>
      <c r="G73" s="2" t="s">
        <v>18</v>
      </c>
      <c r="H73" s="2" t="s">
        <v>19</v>
      </c>
      <c r="I73" s="2" t="s">
        <v>20</v>
      </c>
      <c r="J73" s="2" t="s">
        <v>56</v>
      </c>
      <c r="K73" s="2" t="s">
        <v>48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9"/>
        <v>5579.5199999999995</v>
      </c>
      <c r="Q73" s="2" t="str">
        <f t="shared" si="10"/>
        <v>No</v>
      </c>
      <c r="R73" s="2" t="str">
        <f t="shared" si="11"/>
        <v>No</v>
      </c>
      <c r="S73" s="2" t="str">
        <f t="shared" si="12"/>
        <v>Yes</v>
      </c>
      <c r="T73" s="2" t="str">
        <f t="shared" si="13"/>
        <v>Normal</v>
      </c>
      <c r="U73" s="2" t="str">
        <f t="shared" si="14"/>
        <v>No</v>
      </c>
      <c r="V73" s="2" t="str">
        <f t="shared" si="15"/>
        <v>No</v>
      </c>
      <c r="W73" s="2" t="str">
        <f t="shared" si="16"/>
        <v>Regular</v>
      </c>
      <c r="X73" s="2" t="str">
        <f t="shared" si="17"/>
        <v>Discounted Bulk</v>
      </c>
    </row>
    <row r="74" spans="1:24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41</v>
      </c>
      <c r="F74" s="2" t="s">
        <v>17</v>
      </c>
      <c r="G74" s="2" t="s">
        <v>18</v>
      </c>
      <c r="H74" s="2" t="s">
        <v>26</v>
      </c>
      <c r="I74" s="2" t="s">
        <v>50</v>
      </c>
      <c r="J74" s="2" t="s">
        <v>69</v>
      </c>
      <c r="K74" s="2" t="s">
        <v>22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9"/>
        <v>3037.61</v>
      </c>
      <c r="Q74" s="2" t="str">
        <f t="shared" si="10"/>
        <v>No</v>
      </c>
      <c r="R74" s="2" t="str">
        <f t="shared" si="11"/>
        <v>No</v>
      </c>
      <c r="S74" s="2" t="str">
        <f t="shared" si="12"/>
        <v>Yes</v>
      </c>
      <c r="T74" s="2" t="str">
        <f t="shared" si="13"/>
        <v>Normal</v>
      </c>
      <c r="U74" s="2" t="str">
        <f t="shared" si="14"/>
        <v>No</v>
      </c>
      <c r="V74" s="2" t="str">
        <f t="shared" si="15"/>
        <v>No</v>
      </c>
      <c r="W74" s="2" t="str">
        <f t="shared" si="16"/>
        <v>Regular</v>
      </c>
      <c r="X74" s="2" t="str">
        <f t="shared" si="17"/>
        <v>Discounted Bulk</v>
      </c>
    </row>
    <row r="75" spans="1:24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17</v>
      </c>
      <c r="F75" s="2" t="s">
        <v>55</v>
      </c>
      <c r="G75" s="2" t="s">
        <v>31</v>
      </c>
      <c r="H75" s="2" t="s">
        <v>36</v>
      </c>
      <c r="I75" s="2" t="s">
        <v>20</v>
      </c>
      <c r="J75" s="2" t="s">
        <v>44</v>
      </c>
      <c r="K75" s="2" t="s">
        <v>34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9"/>
        <v>6590.67</v>
      </c>
      <c r="Q75" s="2" t="str">
        <f t="shared" si="10"/>
        <v>No</v>
      </c>
      <c r="R75" s="2" t="str">
        <f t="shared" si="11"/>
        <v>No</v>
      </c>
      <c r="S75" s="2" t="str">
        <f t="shared" si="12"/>
        <v>No</v>
      </c>
      <c r="T75" s="2" t="str">
        <f t="shared" si="13"/>
        <v>Normal</v>
      </c>
      <c r="U75" s="2" t="str">
        <f t="shared" si="14"/>
        <v>No</v>
      </c>
      <c r="V75" s="2" t="str">
        <f t="shared" si="15"/>
        <v>No</v>
      </c>
      <c r="W75" s="2" t="str">
        <f t="shared" si="16"/>
        <v>Regular</v>
      </c>
      <c r="X75" s="2" t="str">
        <f t="shared" si="17"/>
        <v>Discounted Bulk</v>
      </c>
    </row>
    <row r="76" spans="1:24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41</v>
      </c>
      <c r="F76" s="2" t="s">
        <v>17</v>
      </c>
      <c r="G76" s="2" t="s">
        <v>31</v>
      </c>
      <c r="H76" s="2" t="s">
        <v>43</v>
      </c>
      <c r="I76" s="2" t="s">
        <v>58</v>
      </c>
      <c r="J76" s="2" t="s">
        <v>59</v>
      </c>
      <c r="K76" s="2" t="s">
        <v>46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9"/>
        <v>8881.84</v>
      </c>
      <c r="Q76" s="2" t="str">
        <f t="shared" si="10"/>
        <v>No</v>
      </c>
      <c r="R76" s="2" t="str">
        <f t="shared" si="11"/>
        <v>No</v>
      </c>
      <c r="S76" s="2" t="str">
        <f t="shared" si="12"/>
        <v>No</v>
      </c>
      <c r="T76" s="2" t="str">
        <f t="shared" si="13"/>
        <v>Normal</v>
      </c>
      <c r="U76" s="2" t="str">
        <f t="shared" si="14"/>
        <v>No</v>
      </c>
      <c r="V76" s="2" t="str">
        <f t="shared" si="15"/>
        <v>No</v>
      </c>
      <c r="W76" s="2" t="str">
        <f t="shared" si="16"/>
        <v>Regular</v>
      </c>
      <c r="X76" s="2" t="str">
        <f t="shared" si="17"/>
        <v>Discounted Bulk</v>
      </c>
    </row>
    <row r="77" spans="1:24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23</v>
      </c>
      <c r="F77" s="2" t="s">
        <v>17</v>
      </c>
      <c r="G77" s="2" t="s">
        <v>31</v>
      </c>
      <c r="H77" s="2" t="s">
        <v>36</v>
      </c>
      <c r="I77" s="2" t="s">
        <v>32</v>
      </c>
      <c r="J77" s="2" t="s">
        <v>40</v>
      </c>
      <c r="K77" s="2" t="s">
        <v>34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9"/>
        <v>6103.4000000000005</v>
      </c>
      <c r="Q77" s="2" t="str">
        <f t="shared" si="10"/>
        <v>No</v>
      </c>
      <c r="R77" s="2" t="str">
        <f t="shared" si="11"/>
        <v>No</v>
      </c>
      <c r="S77" s="2" t="str">
        <f t="shared" si="12"/>
        <v>No</v>
      </c>
      <c r="T77" s="2" t="str">
        <f t="shared" si="13"/>
        <v>Normal</v>
      </c>
      <c r="U77" s="2" t="str">
        <f t="shared" si="14"/>
        <v>No</v>
      </c>
      <c r="V77" s="2" t="str">
        <f t="shared" si="15"/>
        <v>No</v>
      </c>
      <c r="W77" s="2" t="str">
        <f t="shared" si="16"/>
        <v>Regular</v>
      </c>
      <c r="X77" s="2" t="str">
        <f t="shared" si="17"/>
        <v>Discounted Bulk</v>
      </c>
    </row>
    <row r="78" spans="1:24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23</v>
      </c>
      <c r="F78" s="2" t="s">
        <v>55</v>
      </c>
      <c r="G78" s="2" t="s">
        <v>31</v>
      </c>
      <c r="H78" s="2" t="s">
        <v>26</v>
      </c>
      <c r="I78" s="2" t="s">
        <v>32</v>
      </c>
      <c r="J78" s="2" t="s">
        <v>33</v>
      </c>
      <c r="K78" s="2" t="s">
        <v>46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9"/>
        <v>2955.84</v>
      </c>
      <c r="Q78" s="2" t="str">
        <f t="shared" si="10"/>
        <v>No</v>
      </c>
      <c r="R78" s="2" t="str">
        <f t="shared" si="11"/>
        <v>No</v>
      </c>
      <c r="S78" s="2" t="str">
        <f t="shared" si="12"/>
        <v>No</v>
      </c>
      <c r="T78" s="2" t="str">
        <f t="shared" si="13"/>
        <v>Normal</v>
      </c>
      <c r="U78" s="2" t="str">
        <f t="shared" si="14"/>
        <v>No</v>
      </c>
      <c r="V78" s="2" t="str">
        <f t="shared" si="15"/>
        <v>No</v>
      </c>
      <c r="W78" s="2" t="str">
        <f t="shared" si="16"/>
        <v>Regular</v>
      </c>
      <c r="X78" s="2" t="str">
        <f t="shared" si="17"/>
        <v>Discounted Bulk</v>
      </c>
    </row>
    <row r="79" spans="1:24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41</v>
      </c>
      <c r="F79" s="2" t="s">
        <v>24</v>
      </c>
      <c r="G79" s="2" t="s">
        <v>25</v>
      </c>
      <c r="H79" s="2" t="s">
        <v>36</v>
      </c>
      <c r="I79" s="2" t="s">
        <v>53</v>
      </c>
      <c r="J79" s="2" t="s">
        <v>61</v>
      </c>
      <c r="K79" s="2" t="s">
        <v>29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9"/>
        <v>7552.92</v>
      </c>
      <c r="Q79" s="2" t="str">
        <f t="shared" si="10"/>
        <v>No</v>
      </c>
      <c r="R79" s="2" t="str">
        <f t="shared" si="11"/>
        <v>No</v>
      </c>
      <c r="S79" s="2" t="str">
        <f t="shared" si="12"/>
        <v>Yes</v>
      </c>
      <c r="T79" s="2" t="str">
        <f t="shared" si="13"/>
        <v>Normal</v>
      </c>
      <c r="U79" s="2" t="str">
        <f t="shared" si="14"/>
        <v>Yes</v>
      </c>
      <c r="V79" s="2" t="str">
        <f t="shared" si="15"/>
        <v>Yes</v>
      </c>
      <c r="W79" s="2" t="str">
        <f t="shared" si="16"/>
        <v>Regular</v>
      </c>
      <c r="X79" s="2" t="str">
        <f t="shared" si="17"/>
        <v>Discounted Bulk</v>
      </c>
    </row>
    <row r="80" spans="1:24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35</v>
      </c>
      <c r="F80" s="2" t="s">
        <v>17</v>
      </c>
      <c r="G80" s="2" t="s">
        <v>31</v>
      </c>
      <c r="H80" s="2" t="s">
        <v>36</v>
      </c>
      <c r="I80" s="2" t="s">
        <v>32</v>
      </c>
      <c r="J80" s="2" t="s">
        <v>33</v>
      </c>
      <c r="K80" s="2" t="s">
        <v>34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9"/>
        <v>11459.300000000001</v>
      </c>
      <c r="Q80" s="2" t="str">
        <f t="shared" si="10"/>
        <v>No</v>
      </c>
      <c r="R80" s="2" t="str">
        <f t="shared" si="11"/>
        <v>No</v>
      </c>
      <c r="S80" s="2" t="str">
        <f t="shared" si="12"/>
        <v>No</v>
      </c>
      <c r="T80" s="2" t="str">
        <f t="shared" si="13"/>
        <v>Normal</v>
      </c>
      <c r="U80" s="2" t="str">
        <f t="shared" si="14"/>
        <v>No</v>
      </c>
      <c r="V80" s="2" t="str">
        <f t="shared" si="15"/>
        <v>No</v>
      </c>
      <c r="W80" s="2" t="str">
        <f t="shared" si="16"/>
        <v>Regular</v>
      </c>
      <c r="X80" s="2" t="str">
        <f t="shared" si="17"/>
        <v>Discounted Bulk</v>
      </c>
    </row>
    <row r="81" spans="1:24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16</v>
      </c>
      <c r="F81" s="2" t="s">
        <v>55</v>
      </c>
      <c r="G81" s="2" t="s">
        <v>18</v>
      </c>
      <c r="H81" s="2" t="s">
        <v>26</v>
      </c>
      <c r="I81" s="2" t="s">
        <v>53</v>
      </c>
      <c r="J81" s="2" t="s">
        <v>57</v>
      </c>
      <c r="K81" s="2" t="s">
        <v>29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9"/>
        <v>786.75</v>
      </c>
      <c r="Q81" s="2" t="str">
        <f t="shared" si="10"/>
        <v>No</v>
      </c>
      <c r="R81" s="2" t="str">
        <f t="shared" si="11"/>
        <v>No</v>
      </c>
      <c r="S81" s="2" t="str">
        <f t="shared" si="12"/>
        <v>Yes</v>
      </c>
      <c r="T81" s="2" t="str">
        <f t="shared" si="13"/>
        <v>Normal</v>
      </c>
      <c r="U81" s="2" t="str">
        <f t="shared" si="14"/>
        <v>No</v>
      </c>
      <c r="V81" s="2" t="str">
        <f t="shared" si="15"/>
        <v>No</v>
      </c>
      <c r="W81" s="2" t="str">
        <f t="shared" si="16"/>
        <v>Regular</v>
      </c>
      <c r="X81" s="2" t="str">
        <f t="shared" si="17"/>
        <v>Discounted Bulk</v>
      </c>
    </row>
    <row r="82" spans="1:24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47</v>
      </c>
      <c r="F82" s="2" t="s">
        <v>17</v>
      </c>
      <c r="G82" s="2" t="s">
        <v>31</v>
      </c>
      <c r="H82" s="2" t="s">
        <v>19</v>
      </c>
      <c r="I82" s="2" t="s">
        <v>27</v>
      </c>
      <c r="J82" s="2" t="s">
        <v>28</v>
      </c>
      <c r="K82" s="2" t="s">
        <v>48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9"/>
        <v>21857.46</v>
      </c>
      <c r="Q82" s="2" t="str">
        <f t="shared" si="10"/>
        <v>Yes</v>
      </c>
      <c r="R82" s="2" t="str">
        <f t="shared" si="11"/>
        <v>No</v>
      </c>
      <c r="S82" s="2" t="str">
        <f t="shared" si="12"/>
        <v>No</v>
      </c>
      <c r="T82" s="2" t="str">
        <f t="shared" si="13"/>
        <v>Normal</v>
      </c>
      <c r="U82" s="2" t="str">
        <f t="shared" si="14"/>
        <v>No</v>
      </c>
      <c r="V82" s="2" t="str">
        <f t="shared" si="15"/>
        <v>No</v>
      </c>
      <c r="W82" s="2" t="str">
        <f t="shared" si="16"/>
        <v>Regular</v>
      </c>
      <c r="X82" s="2" t="str">
        <f t="shared" si="17"/>
        <v>Discounted Bulk</v>
      </c>
    </row>
    <row r="83" spans="1:24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47</v>
      </c>
      <c r="F83" s="2" t="s">
        <v>39</v>
      </c>
      <c r="G83" s="2" t="s">
        <v>25</v>
      </c>
      <c r="H83" s="2" t="s">
        <v>43</v>
      </c>
      <c r="I83" s="2" t="s">
        <v>50</v>
      </c>
      <c r="J83" s="2" t="s">
        <v>64</v>
      </c>
      <c r="K83" s="2" t="s">
        <v>48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9"/>
        <v>4510.1400000000003</v>
      </c>
      <c r="Q83" s="2" t="str">
        <f t="shared" si="10"/>
        <v>No</v>
      </c>
      <c r="R83" s="2" t="str">
        <f t="shared" si="11"/>
        <v>No</v>
      </c>
      <c r="S83" s="2" t="str">
        <f t="shared" si="12"/>
        <v>Yes</v>
      </c>
      <c r="T83" s="2" t="str">
        <f t="shared" si="13"/>
        <v>Normal</v>
      </c>
      <c r="U83" s="2" t="str">
        <f t="shared" si="14"/>
        <v>Yes</v>
      </c>
      <c r="V83" s="2" t="str">
        <f t="shared" si="15"/>
        <v>Yes</v>
      </c>
      <c r="W83" s="2" t="str">
        <f t="shared" si="16"/>
        <v>Regular</v>
      </c>
      <c r="X83" s="2" t="str">
        <f t="shared" si="17"/>
        <v>Discounted Bulk</v>
      </c>
    </row>
    <row r="84" spans="1:24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38</v>
      </c>
      <c r="F84" s="2" t="s">
        <v>24</v>
      </c>
      <c r="G84" s="2" t="s">
        <v>18</v>
      </c>
      <c r="H84" s="2" t="s">
        <v>26</v>
      </c>
      <c r="I84" s="2" t="s">
        <v>58</v>
      </c>
      <c r="J84" s="2" t="s">
        <v>63</v>
      </c>
      <c r="K84" s="2" t="s">
        <v>22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9"/>
        <v>7978.72</v>
      </c>
      <c r="Q84" s="2" t="str">
        <f t="shared" si="10"/>
        <v>No</v>
      </c>
      <c r="R84" s="2" t="str">
        <f t="shared" si="11"/>
        <v>No</v>
      </c>
      <c r="S84" s="2" t="str">
        <f t="shared" si="12"/>
        <v>Yes</v>
      </c>
      <c r="T84" s="2" t="str">
        <f t="shared" si="13"/>
        <v>Normal</v>
      </c>
      <c r="U84" s="2" t="str">
        <f t="shared" si="14"/>
        <v>No</v>
      </c>
      <c r="V84" s="2" t="str">
        <f t="shared" si="15"/>
        <v>No</v>
      </c>
      <c r="W84" s="2" t="str">
        <f t="shared" si="16"/>
        <v>Regular</v>
      </c>
      <c r="X84" s="2" t="str">
        <f t="shared" si="17"/>
        <v>Non Discounted Bulk</v>
      </c>
    </row>
    <row r="85" spans="1:24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41</v>
      </c>
      <c r="F85" s="2" t="s">
        <v>30</v>
      </c>
      <c r="G85" s="2" t="s">
        <v>31</v>
      </c>
      <c r="H85" s="2" t="s">
        <v>45</v>
      </c>
      <c r="I85" s="2" t="s">
        <v>53</v>
      </c>
      <c r="J85" s="2" t="s">
        <v>57</v>
      </c>
      <c r="K85" s="2" t="s">
        <v>34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9"/>
        <v>4290.72</v>
      </c>
      <c r="Q85" s="2" t="str">
        <f t="shared" si="10"/>
        <v>No</v>
      </c>
      <c r="R85" s="2" t="str">
        <f t="shared" si="11"/>
        <v>No</v>
      </c>
      <c r="S85" s="2" t="str">
        <f t="shared" si="12"/>
        <v>No</v>
      </c>
      <c r="T85" s="2" t="str">
        <f t="shared" si="13"/>
        <v>Normal</v>
      </c>
      <c r="U85" s="2" t="str">
        <f t="shared" si="14"/>
        <v>No</v>
      </c>
      <c r="V85" s="2" t="str">
        <f t="shared" si="15"/>
        <v>No</v>
      </c>
      <c r="W85" s="2" t="str">
        <f t="shared" si="16"/>
        <v>Regular</v>
      </c>
      <c r="X85" s="2" t="str">
        <f t="shared" si="17"/>
        <v>Discounted Bulk</v>
      </c>
    </row>
    <row r="86" spans="1:24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47</v>
      </c>
      <c r="F86" s="2" t="s">
        <v>17</v>
      </c>
      <c r="G86" s="2" t="s">
        <v>31</v>
      </c>
      <c r="H86" s="2" t="s">
        <v>19</v>
      </c>
      <c r="I86" s="2" t="s">
        <v>50</v>
      </c>
      <c r="J86" s="2" t="s">
        <v>51</v>
      </c>
      <c r="K86" s="2" t="s">
        <v>29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9"/>
        <v>2883.94</v>
      </c>
      <c r="Q86" s="2" t="str">
        <f t="shared" si="10"/>
        <v>No</v>
      </c>
      <c r="R86" s="2" t="str">
        <f t="shared" si="11"/>
        <v>No</v>
      </c>
      <c r="S86" s="2" t="str">
        <f t="shared" si="12"/>
        <v>No</v>
      </c>
      <c r="T86" s="2" t="str">
        <f t="shared" si="13"/>
        <v>Normal</v>
      </c>
      <c r="U86" s="2" t="str">
        <f t="shared" si="14"/>
        <v>No</v>
      </c>
      <c r="V86" s="2" t="str">
        <f t="shared" si="15"/>
        <v>No</v>
      </c>
      <c r="W86" s="2" t="str">
        <f t="shared" si="16"/>
        <v>Regular</v>
      </c>
      <c r="X86" s="2" t="str">
        <f t="shared" si="17"/>
        <v>Discounted Bulk</v>
      </c>
    </row>
    <row r="87" spans="1:24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35</v>
      </c>
      <c r="F87" s="2" t="s">
        <v>39</v>
      </c>
      <c r="G87" s="2" t="s">
        <v>31</v>
      </c>
      <c r="H87" s="2" t="s">
        <v>45</v>
      </c>
      <c r="I87" s="2" t="s">
        <v>32</v>
      </c>
      <c r="J87" s="2" t="s">
        <v>66</v>
      </c>
      <c r="K87" s="2" t="s">
        <v>46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9"/>
        <v>2074.2399999999998</v>
      </c>
      <c r="Q87" s="2" t="str">
        <f t="shared" si="10"/>
        <v>No</v>
      </c>
      <c r="R87" s="2" t="str">
        <f t="shared" si="11"/>
        <v>No</v>
      </c>
      <c r="S87" s="2" t="str">
        <f t="shared" si="12"/>
        <v>No</v>
      </c>
      <c r="T87" s="2" t="str">
        <f t="shared" si="13"/>
        <v>Normal</v>
      </c>
      <c r="U87" s="2" t="str">
        <f t="shared" si="14"/>
        <v>No</v>
      </c>
      <c r="V87" s="2" t="str">
        <f t="shared" si="15"/>
        <v>No</v>
      </c>
      <c r="W87" s="2" t="str">
        <f t="shared" si="16"/>
        <v>Regular</v>
      </c>
      <c r="X87" s="2" t="str">
        <f t="shared" si="17"/>
        <v>Discounted Bulk</v>
      </c>
    </row>
    <row r="88" spans="1:24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41</v>
      </c>
      <c r="F88" s="2" t="s">
        <v>30</v>
      </c>
      <c r="G88" s="2" t="s">
        <v>18</v>
      </c>
      <c r="H88" s="2" t="s">
        <v>19</v>
      </c>
      <c r="I88" s="2" t="s">
        <v>32</v>
      </c>
      <c r="J88" s="2" t="s">
        <v>40</v>
      </c>
      <c r="K88" s="2" t="s">
        <v>48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9"/>
        <v>9611.84</v>
      </c>
      <c r="Q88" s="2" t="str">
        <f t="shared" si="10"/>
        <v>No</v>
      </c>
      <c r="R88" s="2" t="str">
        <f t="shared" si="11"/>
        <v>No</v>
      </c>
      <c r="S88" s="2" t="str">
        <f t="shared" si="12"/>
        <v>Yes</v>
      </c>
      <c r="T88" s="2" t="str">
        <f t="shared" si="13"/>
        <v>Normal</v>
      </c>
      <c r="U88" s="2" t="str">
        <f t="shared" si="14"/>
        <v>No</v>
      </c>
      <c r="V88" s="2" t="str">
        <f t="shared" si="15"/>
        <v>No</v>
      </c>
      <c r="W88" s="2" t="str">
        <f t="shared" si="16"/>
        <v>Regular</v>
      </c>
      <c r="X88" s="2" t="str">
        <f t="shared" si="17"/>
        <v>Discounted Bulk</v>
      </c>
    </row>
    <row r="89" spans="1:24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35</v>
      </c>
      <c r="F89" s="2" t="s">
        <v>30</v>
      </c>
      <c r="G89" s="2" t="s">
        <v>18</v>
      </c>
      <c r="H89" s="2" t="s">
        <v>43</v>
      </c>
      <c r="I89" s="2" t="s">
        <v>50</v>
      </c>
      <c r="J89" s="2" t="s">
        <v>64</v>
      </c>
      <c r="K89" s="2" t="s">
        <v>48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9"/>
        <v>11638.2</v>
      </c>
      <c r="Q89" s="2" t="str">
        <f t="shared" si="10"/>
        <v>No</v>
      </c>
      <c r="R89" s="2" t="str">
        <f t="shared" si="11"/>
        <v>No</v>
      </c>
      <c r="S89" s="2" t="str">
        <f t="shared" si="12"/>
        <v>Yes</v>
      </c>
      <c r="T89" s="2" t="str">
        <f t="shared" si="13"/>
        <v>Normal</v>
      </c>
      <c r="U89" s="2" t="str">
        <f t="shared" si="14"/>
        <v>No</v>
      </c>
      <c r="V89" s="2" t="str">
        <f t="shared" si="15"/>
        <v>No</v>
      </c>
      <c r="W89" s="2" t="str">
        <f t="shared" si="16"/>
        <v>Regular</v>
      </c>
      <c r="X89" s="2" t="str">
        <f t="shared" si="17"/>
        <v>Discounted Bulk</v>
      </c>
    </row>
    <row r="90" spans="1:24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47</v>
      </c>
      <c r="F90" s="2" t="s">
        <v>17</v>
      </c>
      <c r="G90" s="2" t="s">
        <v>25</v>
      </c>
      <c r="H90" s="2" t="s">
        <v>43</v>
      </c>
      <c r="I90" s="2" t="s">
        <v>32</v>
      </c>
      <c r="J90" s="2" t="s">
        <v>49</v>
      </c>
      <c r="K90" s="2" t="s">
        <v>46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9"/>
        <v>3480.06</v>
      </c>
      <c r="Q90" s="2" t="str">
        <f t="shared" si="10"/>
        <v>No</v>
      </c>
      <c r="R90" s="2" t="str">
        <f t="shared" si="11"/>
        <v>No</v>
      </c>
      <c r="S90" s="2" t="str">
        <f t="shared" si="12"/>
        <v>Yes</v>
      </c>
      <c r="T90" s="2" t="str">
        <f t="shared" si="13"/>
        <v>Normal</v>
      </c>
      <c r="U90" s="2" t="str">
        <f t="shared" si="14"/>
        <v>Yes</v>
      </c>
      <c r="V90" s="2" t="str">
        <f t="shared" si="15"/>
        <v>Yes</v>
      </c>
      <c r="W90" s="2" t="str">
        <f t="shared" si="16"/>
        <v>Regular</v>
      </c>
      <c r="X90" s="2" t="str">
        <f t="shared" si="17"/>
        <v>Discounted Bulk</v>
      </c>
    </row>
    <row r="91" spans="1:24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47</v>
      </c>
      <c r="F91" s="2" t="s">
        <v>55</v>
      </c>
      <c r="G91" s="2" t="s">
        <v>18</v>
      </c>
      <c r="H91" s="2" t="s">
        <v>36</v>
      </c>
      <c r="I91" s="2" t="s">
        <v>27</v>
      </c>
      <c r="J91" s="2" t="s">
        <v>28</v>
      </c>
      <c r="K91" s="2" t="s">
        <v>29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9"/>
        <v>6776.2</v>
      </c>
      <c r="Q91" s="2" t="str">
        <f t="shared" si="10"/>
        <v>No</v>
      </c>
      <c r="R91" s="2" t="str">
        <f t="shared" si="11"/>
        <v>No</v>
      </c>
      <c r="S91" s="2" t="str">
        <f t="shared" si="12"/>
        <v>Yes</v>
      </c>
      <c r="T91" s="2" t="str">
        <f t="shared" si="13"/>
        <v>Normal</v>
      </c>
      <c r="U91" s="2" t="str">
        <f t="shared" si="14"/>
        <v>No</v>
      </c>
      <c r="V91" s="2" t="str">
        <f t="shared" si="15"/>
        <v>No</v>
      </c>
      <c r="W91" s="2" t="str">
        <f t="shared" si="16"/>
        <v>Regular</v>
      </c>
      <c r="X91" s="2" t="str">
        <f t="shared" si="17"/>
        <v>Discounted Bulk</v>
      </c>
    </row>
    <row r="92" spans="1:24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38</v>
      </c>
      <c r="F92" s="2" t="s">
        <v>17</v>
      </c>
      <c r="G92" s="2" t="s">
        <v>18</v>
      </c>
      <c r="H92" s="2" t="s">
        <v>45</v>
      </c>
      <c r="I92" s="2" t="s">
        <v>27</v>
      </c>
      <c r="J92" s="2" t="s">
        <v>28</v>
      </c>
      <c r="K92" s="2" t="s">
        <v>29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9"/>
        <v>16852.599999999999</v>
      </c>
      <c r="Q92" s="2" t="str">
        <f t="shared" si="10"/>
        <v>Yes</v>
      </c>
      <c r="R92" s="2" t="str">
        <f t="shared" si="11"/>
        <v>No</v>
      </c>
      <c r="S92" s="2" t="str">
        <f t="shared" si="12"/>
        <v>Yes</v>
      </c>
      <c r="T92" s="2" t="str">
        <f t="shared" si="13"/>
        <v>Normal</v>
      </c>
      <c r="U92" s="2" t="str">
        <f t="shared" si="14"/>
        <v>No</v>
      </c>
      <c r="V92" s="2" t="str">
        <f t="shared" si="15"/>
        <v>No</v>
      </c>
      <c r="W92" s="2" t="str">
        <f t="shared" si="16"/>
        <v>Regular</v>
      </c>
      <c r="X92" s="2" t="str">
        <f t="shared" si="17"/>
        <v>Discounted Bulk</v>
      </c>
    </row>
    <row r="93" spans="1:24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47</v>
      </c>
      <c r="F93" s="2" t="s">
        <v>39</v>
      </c>
      <c r="G93" s="2" t="s">
        <v>31</v>
      </c>
      <c r="H93" s="2" t="s">
        <v>19</v>
      </c>
      <c r="I93" s="2" t="s">
        <v>50</v>
      </c>
      <c r="J93" s="2" t="s">
        <v>51</v>
      </c>
      <c r="K93" s="2" t="s">
        <v>34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9"/>
        <v>1029.99</v>
      </c>
      <c r="Q93" s="2" t="str">
        <f t="shared" si="10"/>
        <v>No</v>
      </c>
      <c r="R93" s="2" t="str">
        <f t="shared" si="11"/>
        <v>No</v>
      </c>
      <c r="S93" s="2" t="str">
        <f t="shared" si="12"/>
        <v>No</v>
      </c>
      <c r="T93" s="2" t="str">
        <f t="shared" si="13"/>
        <v>Normal</v>
      </c>
      <c r="U93" s="2" t="str">
        <f t="shared" si="14"/>
        <v>No</v>
      </c>
      <c r="V93" s="2" t="str">
        <f t="shared" si="15"/>
        <v>No</v>
      </c>
      <c r="W93" s="2" t="str">
        <f t="shared" si="16"/>
        <v>Regular</v>
      </c>
      <c r="X93" s="2" t="str">
        <f t="shared" si="17"/>
        <v>Discounted Bulk</v>
      </c>
    </row>
    <row r="94" spans="1:24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41</v>
      </c>
      <c r="F94" s="2" t="s">
        <v>30</v>
      </c>
      <c r="G94" s="2" t="s">
        <v>18</v>
      </c>
      <c r="H94" s="2" t="s">
        <v>43</v>
      </c>
      <c r="I94" s="2" t="s">
        <v>53</v>
      </c>
      <c r="J94" s="2" t="s">
        <v>57</v>
      </c>
      <c r="K94" s="2" t="s">
        <v>34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9"/>
        <v>17448.84</v>
      </c>
      <c r="Q94" s="2" t="str">
        <f t="shared" si="10"/>
        <v>Yes</v>
      </c>
      <c r="R94" s="2" t="str">
        <f t="shared" si="11"/>
        <v>Yes</v>
      </c>
      <c r="S94" s="2" t="str">
        <f t="shared" si="12"/>
        <v>Yes</v>
      </c>
      <c r="T94" s="2" t="str">
        <f t="shared" si="13"/>
        <v>Normal</v>
      </c>
      <c r="U94" s="2" t="str">
        <f t="shared" si="14"/>
        <v>No</v>
      </c>
      <c r="V94" s="2" t="str">
        <f t="shared" si="15"/>
        <v>No</v>
      </c>
      <c r="W94" s="2" t="str">
        <f t="shared" si="16"/>
        <v>Regular</v>
      </c>
      <c r="X94" s="2" t="str">
        <f t="shared" si="17"/>
        <v>Non Discounted Bulk</v>
      </c>
    </row>
    <row r="95" spans="1:24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23</v>
      </c>
      <c r="F95" s="2" t="s">
        <v>17</v>
      </c>
      <c r="G95" s="2" t="s">
        <v>31</v>
      </c>
      <c r="H95" s="2" t="s">
        <v>26</v>
      </c>
      <c r="I95" s="2" t="s">
        <v>53</v>
      </c>
      <c r="J95" s="2" t="s">
        <v>61</v>
      </c>
      <c r="K95" s="2" t="s">
        <v>22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9"/>
        <v>6446.08</v>
      </c>
      <c r="Q95" s="2" t="str">
        <f t="shared" si="10"/>
        <v>No</v>
      </c>
      <c r="R95" s="2" t="str">
        <f t="shared" si="11"/>
        <v>No</v>
      </c>
      <c r="S95" s="2" t="str">
        <f t="shared" si="12"/>
        <v>No</v>
      </c>
      <c r="T95" s="2" t="str">
        <f t="shared" si="13"/>
        <v>Normal</v>
      </c>
      <c r="U95" s="2" t="str">
        <f t="shared" si="14"/>
        <v>No</v>
      </c>
      <c r="V95" s="2" t="str">
        <f t="shared" si="15"/>
        <v>No</v>
      </c>
      <c r="W95" s="2" t="str">
        <f t="shared" si="16"/>
        <v>Regular</v>
      </c>
      <c r="X95" s="2" t="str">
        <f t="shared" si="17"/>
        <v>Discounted Bulk</v>
      </c>
    </row>
    <row r="96" spans="1:24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41</v>
      </c>
      <c r="F96" s="2" t="s">
        <v>55</v>
      </c>
      <c r="G96" s="2" t="s">
        <v>31</v>
      </c>
      <c r="H96" s="2" t="s">
        <v>43</v>
      </c>
      <c r="I96" s="2" t="s">
        <v>50</v>
      </c>
      <c r="J96" s="2" t="s">
        <v>51</v>
      </c>
      <c r="K96" s="2" t="s">
        <v>48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9"/>
        <v>4106.58</v>
      </c>
      <c r="Q96" s="2" t="str">
        <f t="shared" si="10"/>
        <v>No</v>
      </c>
      <c r="R96" s="2" t="str">
        <f t="shared" si="11"/>
        <v>No</v>
      </c>
      <c r="S96" s="2" t="str">
        <f t="shared" si="12"/>
        <v>No</v>
      </c>
      <c r="T96" s="2" t="str">
        <f t="shared" si="13"/>
        <v>Normal</v>
      </c>
      <c r="U96" s="2" t="str">
        <f t="shared" si="14"/>
        <v>No</v>
      </c>
      <c r="V96" s="2" t="str">
        <f t="shared" si="15"/>
        <v>No</v>
      </c>
      <c r="W96" s="2" t="str">
        <f t="shared" si="16"/>
        <v>Regular</v>
      </c>
      <c r="X96" s="2" t="str">
        <f t="shared" si="17"/>
        <v>Discounted Bulk</v>
      </c>
    </row>
    <row r="97" spans="1:24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41</v>
      </c>
      <c r="F97" s="2" t="s">
        <v>17</v>
      </c>
      <c r="G97" s="2" t="s">
        <v>18</v>
      </c>
      <c r="H97" s="2" t="s">
        <v>26</v>
      </c>
      <c r="I97" s="2" t="s">
        <v>53</v>
      </c>
      <c r="J97" s="2" t="s">
        <v>61</v>
      </c>
      <c r="K97" s="2" t="s">
        <v>34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9"/>
        <v>2499.88</v>
      </c>
      <c r="Q97" s="2" t="str">
        <f t="shared" si="10"/>
        <v>No</v>
      </c>
      <c r="R97" s="2" t="str">
        <f t="shared" si="11"/>
        <v>No</v>
      </c>
      <c r="S97" s="2" t="str">
        <f t="shared" si="12"/>
        <v>Yes</v>
      </c>
      <c r="T97" s="2" t="str">
        <f t="shared" si="13"/>
        <v>Normal</v>
      </c>
      <c r="U97" s="2" t="str">
        <f t="shared" si="14"/>
        <v>No</v>
      </c>
      <c r="V97" s="2" t="str">
        <f t="shared" si="15"/>
        <v>No</v>
      </c>
      <c r="W97" s="2" t="str">
        <f t="shared" si="16"/>
        <v>Regular</v>
      </c>
      <c r="X97" s="2" t="str">
        <f t="shared" si="17"/>
        <v>Discounted Bulk</v>
      </c>
    </row>
    <row r="98" spans="1:24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38</v>
      </c>
      <c r="F98" s="2" t="s">
        <v>24</v>
      </c>
      <c r="G98" s="2" t="s">
        <v>25</v>
      </c>
      <c r="H98" s="2" t="s">
        <v>19</v>
      </c>
      <c r="I98" s="2" t="s">
        <v>53</v>
      </c>
      <c r="J98" s="2" t="s">
        <v>61</v>
      </c>
      <c r="K98" s="2" t="s">
        <v>29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9"/>
        <v>4516.1100000000006</v>
      </c>
      <c r="Q98" s="2" t="str">
        <f t="shared" si="10"/>
        <v>No</v>
      </c>
      <c r="R98" s="2" t="str">
        <f t="shared" si="11"/>
        <v>No</v>
      </c>
      <c r="S98" s="2" t="str">
        <f t="shared" si="12"/>
        <v>Yes</v>
      </c>
      <c r="T98" s="2" t="str">
        <f t="shared" si="13"/>
        <v>Normal</v>
      </c>
      <c r="U98" s="2" t="str">
        <f t="shared" si="14"/>
        <v>Yes</v>
      </c>
      <c r="V98" s="2" t="str">
        <f t="shared" si="15"/>
        <v>Yes</v>
      </c>
      <c r="W98" s="2" t="str">
        <f t="shared" si="16"/>
        <v>Regular</v>
      </c>
      <c r="X98" s="2" t="str">
        <f t="shared" si="17"/>
        <v>Non Discounted Bulk</v>
      </c>
    </row>
    <row r="99" spans="1:24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38</v>
      </c>
      <c r="F99" s="2" t="s">
        <v>55</v>
      </c>
      <c r="G99" s="2" t="s">
        <v>25</v>
      </c>
      <c r="H99" s="2" t="s">
        <v>43</v>
      </c>
      <c r="I99" s="2" t="s">
        <v>27</v>
      </c>
      <c r="J99" s="2" t="s">
        <v>37</v>
      </c>
      <c r="K99" s="2" t="s">
        <v>46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9"/>
        <v>5448.32</v>
      </c>
      <c r="Q99" s="2" t="str">
        <f t="shared" si="10"/>
        <v>No</v>
      </c>
      <c r="R99" s="2" t="str">
        <f t="shared" si="11"/>
        <v>No</v>
      </c>
      <c r="S99" s="2" t="str">
        <f t="shared" si="12"/>
        <v>Yes</v>
      </c>
      <c r="T99" s="2" t="str">
        <f t="shared" si="13"/>
        <v>Normal</v>
      </c>
      <c r="U99" s="2" t="str">
        <f t="shared" si="14"/>
        <v>Yes</v>
      </c>
      <c r="V99" s="2" t="str">
        <f t="shared" si="15"/>
        <v>Yes</v>
      </c>
      <c r="W99" s="2" t="str">
        <f t="shared" si="16"/>
        <v>Regular</v>
      </c>
      <c r="X99" s="2" t="str">
        <f t="shared" si="17"/>
        <v>Discounted Bulk</v>
      </c>
    </row>
    <row r="100" spans="1:24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47</v>
      </c>
      <c r="F100" s="2" t="s">
        <v>39</v>
      </c>
      <c r="G100" s="2" t="s">
        <v>18</v>
      </c>
      <c r="H100" s="2" t="s">
        <v>43</v>
      </c>
      <c r="I100" s="2" t="s">
        <v>53</v>
      </c>
      <c r="J100" s="2" t="s">
        <v>54</v>
      </c>
      <c r="K100" s="2" t="s">
        <v>29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9"/>
        <v>947.25</v>
      </c>
      <c r="Q100" s="2" t="str">
        <f t="shared" si="10"/>
        <v>No</v>
      </c>
      <c r="R100" s="2" t="str">
        <f t="shared" si="11"/>
        <v>No</v>
      </c>
      <c r="S100" s="2" t="str">
        <f t="shared" si="12"/>
        <v>Yes</v>
      </c>
      <c r="T100" s="2" t="str">
        <f t="shared" si="13"/>
        <v>Normal</v>
      </c>
      <c r="U100" s="2" t="str">
        <f t="shared" si="14"/>
        <v>No</v>
      </c>
      <c r="V100" s="2" t="str">
        <f t="shared" si="15"/>
        <v>No</v>
      </c>
      <c r="W100" s="2" t="str">
        <f t="shared" si="16"/>
        <v>Regular</v>
      </c>
      <c r="X100" s="2" t="str">
        <f t="shared" si="17"/>
        <v>Discounted Bulk</v>
      </c>
    </row>
    <row r="101" spans="1:24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17</v>
      </c>
      <c r="F101" s="2" t="s">
        <v>30</v>
      </c>
      <c r="G101" s="2" t="s">
        <v>25</v>
      </c>
      <c r="H101" s="2" t="s">
        <v>19</v>
      </c>
      <c r="I101" s="2" t="s">
        <v>20</v>
      </c>
      <c r="J101" s="2" t="s">
        <v>44</v>
      </c>
      <c r="K101" s="2" t="s">
        <v>48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9"/>
        <v>22096.97</v>
      </c>
      <c r="Q101" s="2" t="str">
        <f t="shared" si="10"/>
        <v>Yes</v>
      </c>
      <c r="R101" s="2" t="str">
        <f t="shared" si="11"/>
        <v>No</v>
      </c>
      <c r="S101" s="2" t="str">
        <f t="shared" si="12"/>
        <v>Yes</v>
      </c>
      <c r="T101" s="2" t="str">
        <f t="shared" si="13"/>
        <v>Normal</v>
      </c>
      <c r="U101" s="2" t="str">
        <f t="shared" si="14"/>
        <v>Yes</v>
      </c>
      <c r="V101" s="2" t="str">
        <f t="shared" si="15"/>
        <v>Yes</v>
      </c>
      <c r="W101" s="2" t="str">
        <f t="shared" si="16"/>
        <v>Regular</v>
      </c>
      <c r="X101" s="2" t="str">
        <f t="shared" si="17"/>
        <v>Discounted Bulk</v>
      </c>
    </row>
    <row r="102" spans="1:24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17</v>
      </c>
      <c r="F102" s="2" t="s">
        <v>17</v>
      </c>
      <c r="G102" s="2" t="s">
        <v>31</v>
      </c>
      <c r="H102" s="2" t="s">
        <v>43</v>
      </c>
      <c r="I102" s="2" t="s">
        <v>58</v>
      </c>
      <c r="J102" s="2" t="s">
        <v>60</v>
      </c>
      <c r="K102" s="2" t="s">
        <v>29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9"/>
        <v>13465.44</v>
      </c>
      <c r="Q102" s="2" t="str">
        <f t="shared" si="10"/>
        <v>Yes</v>
      </c>
      <c r="R102" s="2" t="str">
        <f t="shared" si="11"/>
        <v>Yes</v>
      </c>
      <c r="S102" s="2" t="str">
        <f t="shared" si="12"/>
        <v>No</v>
      </c>
      <c r="T102" s="2" t="str">
        <f t="shared" si="13"/>
        <v>Normal</v>
      </c>
      <c r="U102" s="2" t="str">
        <f t="shared" si="14"/>
        <v>No</v>
      </c>
      <c r="V102" s="2" t="str">
        <f t="shared" si="15"/>
        <v>No</v>
      </c>
      <c r="W102" s="2" t="str">
        <f t="shared" si="16"/>
        <v>Regular</v>
      </c>
      <c r="X102" s="2" t="str">
        <f t="shared" si="17"/>
        <v>Non Discounted Bulk</v>
      </c>
    </row>
    <row r="103" spans="1:24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38</v>
      </c>
      <c r="F103" s="2" t="s">
        <v>55</v>
      </c>
      <c r="G103" s="2" t="s">
        <v>31</v>
      </c>
      <c r="H103" s="2" t="s">
        <v>26</v>
      </c>
      <c r="I103" s="2" t="s">
        <v>32</v>
      </c>
      <c r="J103" s="2" t="s">
        <v>40</v>
      </c>
      <c r="K103" s="2" t="s">
        <v>22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9"/>
        <v>3718.06</v>
      </c>
      <c r="Q103" s="2" t="str">
        <f t="shared" si="10"/>
        <v>No</v>
      </c>
      <c r="R103" s="2" t="str">
        <f t="shared" si="11"/>
        <v>No</v>
      </c>
      <c r="S103" s="2" t="str">
        <f t="shared" si="12"/>
        <v>No</v>
      </c>
      <c r="T103" s="2" t="str">
        <f t="shared" si="13"/>
        <v>Normal</v>
      </c>
      <c r="U103" s="2" t="str">
        <f t="shared" si="14"/>
        <v>No</v>
      </c>
      <c r="V103" s="2" t="str">
        <f t="shared" si="15"/>
        <v>No</v>
      </c>
      <c r="W103" s="2" t="str">
        <f t="shared" si="16"/>
        <v>Regular</v>
      </c>
      <c r="X103" s="2" t="str">
        <f t="shared" si="17"/>
        <v>Discounted Bulk</v>
      </c>
    </row>
    <row r="104" spans="1:24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47</v>
      </c>
      <c r="F104" s="2" t="s">
        <v>24</v>
      </c>
      <c r="G104" s="2" t="s">
        <v>18</v>
      </c>
      <c r="H104" s="2" t="s">
        <v>43</v>
      </c>
      <c r="I104" s="2" t="s">
        <v>20</v>
      </c>
      <c r="J104" s="2" t="s">
        <v>21</v>
      </c>
      <c r="K104" s="2" t="s">
        <v>48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9"/>
        <v>25132.38</v>
      </c>
      <c r="Q104" s="2" t="str">
        <f t="shared" si="10"/>
        <v>Yes</v>
      </c>
      <c r="R104" s="2" t="str">
        <f t="shared" si="11"/>
        <v>No</v>
      </c>
      <c r="S104" s="2" t="str">
        <f t="shared" si="12"/>
        <v>Yes</v>
      </c>
      <c r="T104" s="2" t="str">
        <f t="shared" si="13"/>
        <v>Normal</v>
      </c>
      <c r="U104" s="2" t="str">
        <f t="shared" si="14"/>
        <v>No</v>
      </c>
      <c r="V104" s="2" t="str">
        <f t="shared" si="15"/>
        <v>No</v>
      </c>
      <c r="W104" s="2" t="str">
        <f t="shared" si="16"/>
        <v>Regular</v>
      </c>
      <c r="X104" s="2" t="str">
        <f t="shared" si="17"/>
        <v>Discounted Bulk</v>
      </c>
    </row>
    <row r="105" spans="1:24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17</v>
      </c>
      <c r="F105" s="2" t="s">
        <v>55</v>
      </c>
      <c r="G105" s="2" t="s">
        <v>25</v>
      </c>
      <c r="H105" s="2" t="s">
        <v>45</v>
      </c>
      <c r="I105" s="2" t="s">
        <v>53</v>
      </c>
      <c r="J105" s="2" t="s">
        <v>54</v>
      </c>
      <c r="K105" s="2" t="s">
        <v>46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9"/>
        <v>13417.550000000001</v>
      </c>
      <c r="Q105" s="2" t="str">
        <f t="shared" si="10"/>
        <v>Yes</v>
      </c>
      <c r="R105" s="2" t="str">
        <f t="shared" si="11"/>
        <v>No</v>
      </c>
      <c r="S105" s="2" t="str">
        <f t="shared" si="12"/>
        <v>Yes</v>
      </c>
      <c r="T105" s="2" t="str">
        <f t="shared" si="13"/>
        <v>Normal</v>
      </c>
      <c r="U105" s="2" t="str">
        <f t="shared" si="14"/>
        <v>Yes</v>
      </c>
      <c r="V105" s="2" t="str">
        <f t="shared" si="15"/>
        <v>Yes</v>
      </c>
      <c r="W105" s="2" t="str">
        <f t="shared" si="16"/>
        <v>Regular</v>
      </c>
      <c r="X105" s="2" t="str">
        <f t="shared" si="17"/>
        <v>Discounted Bulk</v>
      </c>
    </row>
    <row r="106" spans="1:24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47</v>
      </c>
      <c r="F106" s="2" t="s">
        <v>42</v>
      </c>
      <c r="G106" s="2" t="s">
        <v>25</v>
      </c>
      <c r="H106" s="2" t="s">
        <v>36</v>
      </c>
      <c r="I106" s="2" t="s">
        <v>27</v>
      </c>
      <c r="J106" s="2" t="s">
        <v>28</v>
      </c>
      <c r="K106" s="2" t="s">
        <v>22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9"/>
        <v>905.15</v>
      </c>
      <c r="Q106" s="2" t="str">
        <f t="shared" si="10"/>
        <v>No</v>
      </c>
      <c r="R106" s="2" t="str">
        <f t="shared" si="11"/>
        <v>No</v>
      </c>
      <c r="S106" s="2" t="str">
        <f t="shared" si="12"/>
        <v>Yes</v>
      </c>
      <c r="T106" s="2" t="str">
        <f t="shared" si="13"/>
        <v>Normal</v>
      </c>
      <c r="U106" s="2" t="str">
        <f t="shared" si="14"/>
        <v>Yes</v>
      </c>
      <c r="V106" s="2" t="str">
        <f t="shared" si="15"/>
        <v>Yes</v>
      </c>
      <c r="W106" s="2" t="str">
        <f t="shared" si="16"/>
        <v>Regular</v>
      </c>
      <c r="X106" s="2" t="str">
        <f t="shared" si="17"/>
        <v>Discounted Bulk</v>
      </c>
    </row>
    <row r="107" spans="1:24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47</v>
      </c>
      <c r="F107" s="2" t="s">
        <v>24</v>
      </c>
      <c r="G107" s="2" t="s">
        <v>31</v>
      </c>
      <c r="H107" s="2" t="s">
        <v>26</v>
      </c>
      <c r="I107" s="2" t="s">
        <v>50</v>
      </c>
      <c r="J107" s="2" t="s">
        <v>64</v>
      </c>
      <c r="K107" s="2" t="s">
        <v>48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9"/>
        <v>11343.66</v>
      </c>
      <c r="Q107" s="2" t="str">
        <f t="shared" si="10"/>
        <v>No</v>
      </c>
      <c r="R107" s="2" t="str">
        <f t="shared" si="11"/>
        <v>No</v>
      </c>
      <c r="S107" s="2" t="str">
        <f t="shared" si="12"/>
        <v>No</v>
      </c>
      <c r="T107" s="2" t="str">
        <f t="shared" si="13"/>
        <v>Normal</v>
      </c>
      <c r="U107" s="2" t="str">
        <f t="shared" si="14"/>
        <v>No</v>
      </c>
      <c r="V107" s="2" t="str">
        <f t="shared" si="15"/>
        <v>No</v>
      </c>
      <c r="W107" s="2" t="str">
        <f t="shared" si="16"/>
        <v>Regular</v>
      </c>
      <c r="X107" s="2" t="str">
        <f t="shared" si="17"/>
        <v>Discounted Bulk</v>
      </c>
    </row>
    <row r="108" spans="1:24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47</v>
      </c>
      <c r="F108" s="2" t="s">
        <v>39</v>
      </c>
      <c r="G108" s="2" t="s">
        <v>18</v>
      </c>
      <c r="H108" s="2" t="s">
        <v>45</v>
      </c>
      <c r="I108" s="2" t="s">
        <v>53</v>
      </c>
      <c r="J108" s="2" t="s">
        <v>61</v>
      </c>
      <c r="K108" s="2" t="s">
        <v>46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9"/>
        <v>5315.05</v>
      </c>
      <c r="Q108" s="2" t="str">
        <f t="shared" si="10"/>
        <v>No</v>
      </c>
      <c r="R108" s="2" t="str">
        <f t="shared" si="11"/>
        <v>No</v>
      </c>
      <c r="S108" s="2" t="str">
        <f t="shared" si="12"/>
        <v>Yes</v>
      </c>
      <c r="T108" s="2" t="str">
        <f t="shared" si="13"/>
        <v>Normal</v>
      </c>
      <c r="U108" s="2" t="str">
        <f t="shared" si="14"/>
        <v>No</v>
      </c>
      <c r="V108" s="2" t="str">
        <f t="shared" si="15"/>
        <v>No</v>
      </c>
      <c r="W108" s="2" t="str">
        <f t="shared" si="16"/>
        <v>Regular</v>
      </c>
      <c r="X108" s="2" t="str">
        <f t="shared" si="17"/>
        <v>Discounted Bulk</v>
      </c>
    </row>
    <row r="109" spans="1:24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16</v>
      </c>
      <c r="F109" s="2" t="s">
        <v>30</v>
      </c>
      <c r="G109" s="2" t="s">
        <v>25</v>
      </c>
      <c r="H109" s="2" t="s">
        <v>19</v>
      </c>
      <c r="I109" s="2" t="s">
        <v>27</v>
      </c>
      <c r="J109" s="2" t="s">
        <v>37</v>
      </c>
      <c r="K109" s="2" t="s">
        <v>22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9"/>
        <v>1128.6199999999999</v>
      </c>
      <c r="Q109" s="2" t="str">
        <f t="shared" si="10"/>
        <v>No</v>
      </c>
      <c r="R109" s="2" t="str">
        <f t="shared" si="11"/>
        <v>No</v>
      </c>
      <c r="S109" s="2" t="str">
        <f t="shared" si="12"/>
        <v>Yes</v>
      </c>
      <c r="T109" s="2" t="str">
        <f t="shared" si="13"/>
        <v>Special Attention</v>
      </c>
      <c r="U109" s="2" t="str">
        <f t="shared" si="14"/>
        <v>Yes</v>
      </c>
      <c r="V109" s="2" t="str">
        <f t="shared" si="15"/>
        <v>Yes</v>
      </c>
      <c r="W109" s="2" t="str">
        <f t="shared" si="16"/>
        <v>Regular</v>
      </c>
      <c r="X109" s="2" t="str">
        <f t="shared" si="17"/>
        <v>Discounted Bulk</v>
      </c>
    </row>
    <row r="110" spans="1:24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41</v>
      </c>
      <c r="F110" s="2" t="s">
        <v>39</v>
      </c>
      <c r="G110" s="2" t="s">
        <v>18</v>
      </c>
      <c r="H110" s="2" t="s">
        <v>26</v>
      </c>
      <c r="I110" s="2" t="s">
        <v>58</v>
      </c>
      <c r="J110" s="2" t="s">
        <v>60</v>
      </c>
      <c r="K110" s="2" t="s">
        <v>22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9"/>
        <v>12429.16</v>
      </c>
      <c r="Q110" s="2" t="str">
        <f t="shared" si="10"/>
        <v>No</v>
      </c>
      <c r="R110" s="2" t="str">
        <f t="shared" si="11"/>
        <v>No</v>
      </c>
      <c r="S110" s="2" t="str">
        <f t="shared" si="12"/>
        <v>Yes</v>
      </c>
      <c r="T110" s="2" t="str">
        <f t="shared" si="13"/>
        <v>Normal</v>
      </c>
      <c r="U110" s="2" t="str">
        <f t="shared" si="14"/>
        <v>No</v>
      </c>
      <c r="V110" s="2" t="str">
        <f t="shared" si="15"/>
        <v>No</v>
      </c>
      <c r="W110" s="2" t="str">
        <f t="shared" si="16"/>
        <v>Regular</v>
      </c>
      <c r="X110" s="2" t="str">
        <f t="shared" si="17"/>
        <v>Discounted Bulk</v>
      </c>
    </row>
    <row r="111" spans="1:24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47</v>
      </c>
      <c r="F111" s="2" t="s">
        <v>17</v>
      </c>
      <c r="G111" s="2" t="s">
        <v>25</v>
      </c>
      <c r="H111" s="2" t="s">
        <v>36</v>
      </c>
      <c r="I111" s="2" t="s">
        <v>53</v>
      </c>
      <c r="J111" s="2" t="s">
        <v>57</v>
      </c>
      <c r="K111" s="2" t="s">
        <v>48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9"/>
        <v>12461.04</v>
      </c>
      <c r="Q111" s="2" t="str">
        <f t="shared" si="10"/>
        <v>No</v>
      </c>
      <c r="R111" s="2" t="str">
        <f t="shared" si="11"/>
        <v>No</v>
      </c>
      <c r="S111" s="2" t="str">
        <f t="shared" si="12"/>
        <v>Yes</v>
      </c>
      <c r="T111" s="2" t="str">
        <f t="shared" si="13"/>
        <v>Normal</v>
      </c>
      <c r="U111" s="2" t="str">
        <f t="shared" si="14"/>
        <v>Yes</v>
      </c>
      <c r="V111" s="2" t="str">
        <f t="shared" si="15"/>
        <v>Yes</v>
      </c>
      <c r="W111" s="2" t="str">
        <f t="shared" si="16"/>
        <v>Regular</v>
      </c>
      <c r="X111" s="2" t="str">
        <f t="shared" si="17"/>
        <v>Discounted Bulk</v>
      </c>
    </row>
    <row r="112" spans="1:24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16</v>
      </c>
      <c r="F112" s="2" t="s">
        <v>55</v>
      </c>
      <c r="G112" s="2" t="s">
        <v>31</v>
      </c>
      <c r="H112" s="2" t="s">
        <v>36</v>
      </c>
      <c r="I112" s="2" t="s">
        <v>50</v>
      </c>
      <c r="J112" s="2" t="s">
        <v>69</v>
      </c>
      <c r="K112" s="2" t="s">
        <v>34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9"/>
        <v>1820.02</v>
      </c>
      <c r="Q112" s="2" t="str">
        <f t="shared" si="10"/>
        <v>No</v>
      </c>
      <c r="R112" s="2" t="str">
        <f t="shared" si="11"/>
        <v>No</v>
      </c>
      <c r="S112" s="2" t="str">
        <f t="shared" si="12"/>
        <v>No</v>
      </c>
      <c r="T112" s="2" t="str">
        <f t="shared" si="13"/>
        <v>Normal</v>
      </c>
      <c r="U112" s="2" t="str">
        <f t="shared" si="14"/>
        <v>No</v>
      </c>
      <c r="V112" s="2" t="str">
        <f t="shared" si="15"/>
        <v>No</v>
      </c>
      <c r="W112" s="2" t="str">
        <f t="shared" si="16"/>
        <v>Regular</v>
      </c>
      <c r="X112" s="2" t="str">
        <f t="shared" si="17"/>
        <v>Discounted Bulk</v>
      </c>
    </row>
    <row r="113" spans="1:24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38</v>
      </c>
      <c r="F113" s="2" t="s">
        <v>42</v>
      </c>
      <c r="G113" s="2" t="s">
        <v>31</v>
      </c>
      <c r="H113" s="2" t="s">
        <v>19</v>
      </c>
      <c r="I113" s="2" t="s">
        <v>27</v>
      </c>
      <c r="J113" s="2" t="s">
        <v>37</v>
      </c>
      <c r="K113" s="2" t="s">
        <v>22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9"/>
        <v>4442.3599999999997</v>
      </c>
      <c r="Q113" s="2" t="str">
        <f t="shared" si="10"/>
        <v>No</v>
      </c>
      <c r="R113" s="2" t="str">
        <f t="shared" si="11"/>
        <v>No</v>
      </c>
      <c r="S113" s="2" t="str">
        <f t="shared" si="12"/>
        <v>No</v>
      </c>
      <c r="T113" s="2" t="str">
        <f t="shared" si="13"/>
        <v>Normal</v>
      </c>
      <c r="U113" s="2" t="str">
        <f t="shared" si="14"/>
        <v>No</v>
      </c>
      <c r="V113" s="2" t="str">
        <f t="shared" si="15"/>
        <v>No</v>
      </c>
      <c r="W113" s="2" t="str">
        <f t="shared" si="16"/>
        <v>Regular</v>
      </c>
      <c r="X113" s="2" t="str">
        <f t="shared" si="17"/>
        <v>Discounted Bulk</v>
      </c>
    </row>
    <row r="114" spans="1:24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17</v>
      </c>
      <c r="F114" s="2" t="s">
        <v>24</v>
      </c>
      <c r="G114" s="2" t="s">
        <v>18</v>
      </c>
      <c r="H114" s="2" t="s">
        <v>19</v>
      </c>
      <c r="I114" s="2" t="s">
        <v>27</v>
      </c>
      <c r="J114" s="2" t="s">
        <v>62</v>
      </c>
      <c r="K114" s="2" t="s">
        <v>22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9"/>
        <v>13546.619999999999</v>
      </c>
      <c r="Q114" s="2" t="str">
        <f t="shared" si="10"/>
        <v>Yes</v>
      </c>
      <c r="R114" s="2" t="str">
        <f t="shared" si="11"/>
        <v>No</v>
      </c>
      <c r="S114" s="2" t="str">
        <f t="shared" si="12"/>
        <v>Yes</v>
      </c>
      <c r="T114" s="2" t="str">
        <f t="shared" si="13"/>
        <v>Normal</v>
      </c>
      <c r="U114" s="2" t="str">
        <f t="shared" si="14"/>
        <v>No</v>
      </c>
      <c r="V114" s="2" t="str">
        <f t="shared" si="15"/>
        <v>No</v>
      </c>
      <c r="W114" s="2" t="str">
        <f t="shared" si="16"/>
        <v>Regular</v>
      </c>
      <c r="X114" s="2" t="str">
        <f t="shared" si="17"/>
        <v>Discounted Bulk</v>
      </c>
    </row>
    <row r="115" spans="1:24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41</v>
      </c>
      <c r="F115" s="2" t="s">
        <v>24</v>
      </c>
      <c r="G115" s="2" t="s">
        <v>31</v>
      </c>
      <c r="H115" s="2" t="s">
        <v>26</v>
      </c>
      <c r="I115" s="2" t="s">
        <v>27</v>
      </c>
      <c r="J115" s="2" t="s">
        <v>70</v>
      </c>
      <c r="K115" s="2" t="s">
        <v>46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9"/>
        <v>10857.420000000002</v>
      </c>
      <c r="Q115" s="2" t="str">
        <f t="shared" si="10"/>
        <v>No</v>
      </c>
      <c r="R115" s="2" t="str">
        <f t="shared" si="11"/>
        <v>Yes</v>
      </c>
      <c r="S115" s="2" t="str">
        <f t="shared" si="12"/>
        <v>No</v>
      </c>
      <c r="T115" s="2" t="str">
        <f t="shared" si="13"/>
        <v>Normal</v>
      </c>
      <c r="U115" s="2" t="str">
        <f t="shared" si="14"/>
        <v>No</v>
      </c>
      <c r="V115" s="2" t="str">
        <f t="shared" si="15"/>
        <v>No</v>
      </c>
      <c r="W115" s="2" t="str">
        <f t="shared" si="16"/>
        <v>Regular</v>
      </c>
      <c r="X115" s="2" t="str">
        <f t="shared" si="17"/>
        <v>Non Discounted Bulk</v>
      </c>
    </row>
    <row r="116" spans="1:24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23</v>
      </c>
      <c r="F116" s="2" t="s">
        <v>55</v>
      </c>
      <c r="G116" s="2" t="s">
        <v>25</v>
      </c>
      <c r="H116" s="2" t="s">
        <v>43</v>
      </c>
      <c r="I116" s="2" t="s">
        <v>58</v>
      </c>
      <c r="J116" s="2" t="s">
        <v>63</v>
      </c>
      <c r="K116" s="2" t="s">
        <v>29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9"/>
        <v>7242.18</v>
      </c>
      <c r="Q116" s="2" t="str">
        <f t="shared" si="10"/>
        <v>No</v>
      </c>
      <c r="R116" s="2" t="str">
        <f t="shared" si="11"/>
        <v>No</v>
      </c>
      <c r="S116" s="2" t="str">
        <f t="shared" si="12"/>
        <v>Yes</v>
      </c>
      <c r="T116" s="2" t="str">
        <f t="shared" si="13"/>
        <v>Normal</v>
      </c>
      <c r="U116" s="2" t="str">
        <f t="shared" si="14"/>
        <v>Yes</v>
      </c>
      <c r="V116" s="2" t="str">
        <f t="shared" si="15"/>
        <v>Yes</v>
      </c>
      <c r="W116" s="2" t="str">
        <f t="shared" si="16"/>
        <v>Regular</v>
      </c>
      <c r="X116" s="2" t="str">
        <f t="shared" si="17"/>
        <v>Discounted Bulk</v>
      </c>
    </row>
    <row r="117" spans="1:24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17</v>
      </c>
      <c r="F117" s="2" t="s">
        <v>42</v>
      </c>
      <c r="G117" s="2" t="s">
        <v>31</v>
      </c>
      <c r="H117" s="2" t="s">
        <v>19</v>
      </c>
      <c r="I117" s="2" t="s">
        <v>53</v>
      </c>
      <c r="J117" s="2" t="s">
        <v>61</v>
      </c>
      <c r="K117" s="2" t="s">
        <v>48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9"/>
        <v>6849.78</v>
      </c>
      <c r="Q117" s="2" t="str">
        <f t="shared" si="10"/>
        <v>No</v>
      </c>
      <c r="R117" s="2" t="str">
        <f t="shared" si="11"/>
        <v>No</v>
      </c>
      <c r="S117" s="2" t="str">
        <f t="shared" si="12"/>
        <v>No</v>
      </c>
      <c r="T117" s="2" t="str">
        <f t="shared" si="13"/>
        <v>Normal</v>
      </c>
      <c r="U117" s="2" t="str">
        <f t="shared" si="14"/>
        <v>No</v>
      </c>
      <c r="V117" s="2" t="str">
        <f t="shared" si="15"/>
        <v>No</v>
      </c>
      <c r="W117" s="2" t="str">
        <f t="shared" si="16"/>
        <v>Regular</v>
      </c>
      <c r="X117" s="2" t="str">
        <f t="shared" si="17"/>
        <v>Discounted Bulk</v>
      </c>
    </row>
    <row r="118" spans="1:24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41</v>
      </c>
      <c r="F118" s="2" t="s">
        <v>55</v>
      </c>
      <c r="G118" s="2" t="s">
        <v>18</v>
      </c>
      <c r="H118" s="2" t="s">
        <v>43</v>
      </c>
      <c r="I118" s="2" t="s">
        <v>58</v>
      </c>
      <c r="J118" s="2" t="s">
        <v>59</v>
      </c>
      <c r="K118" s="2" t="s">
        <v>48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9"/>
        <v>21328.62</v>
      </c>
      <c r="Q118" s="2" t="str">
        <f t="shared" si="10"/>
        <v>Yes</v>
      </c>
      <c r="R118" s="2" t="str">
        <f t="shared" si="11"/>
        <v>No</v>
      </c>
      <c r="S118" s="2" t="str">
        <f t="shared" si="12"/>
        <v>Yes</v>
      </c>
      <c r="T118" s="2" t="str">
        <f t="shared" si="13"/>
        <v>Normal</v>
      </c>
      <c r="U118" s="2" t="str">
        <f t="shared" si="14"/>
        <v>No</v>
      </c>
      <c r="V118" s="2" t="str">
        <f t="shared" si="15"/>
        <v>No</v>
      </c>
      <c r="W118" s="2" t="str">
        <f t="shared" si="16"/>
        <v>Regular</v>
      </c>
      <c r="X118" s="2" t="str">
        <f t="shared" si="17"/>
        <v>Discounted Bulk</v>
      </c>
    </row>
    <row r="119" spans="1:24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23</v>
      </c>
      <c r="F119" s="2" t="s">
        <v>17</v>
      </c>
      <c r="G119" s="2" t="s">
        <v>18</v>
      </c>
      <c r="H119" s="2" t="s">
        <v>45</v>
      </c>
      <c r="I119" s="2" t="s">
        <v>32</v>
      </c>
      <c r="J119" s="2" t="s">
        <v>49</v>
      </c>
      <c r="K119" s="2" t="s">
        <v>34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9"/>
        <v>4607.42</v>
      </c>
      <c r="Q119" s="2" t="str">
        <f t="shared" si="10"/>
        <v>No</v>
      </c>
      <c r="R119" s="2" t="str">
        <f t="shared" si="11"/>
        <v>No</v>
      </c>
      <c r="S119" s="2" t="str">
        <f t="shared" si="12"/>
        <v>Yes</v>
      </c>
      <c r="T119" s="2" t="str">
        <f t="shared" si="13"/>
        <v>Normal</v>
      </c>
      <c r="U119" s="2" t="str">
        <f t="shared" si="14"/>
        <v>No</v>
      </c>
      <c r="V119" s="2" t="str">
        <f t="shared" si="15"/>
        <v>No</v>
      </c>
      <c r="W119" s="2" t="str">
        <f t="shared" si="16"/>
        <v>Regular</v>
      </c>
      <c r="X119" s="2" t="str">
        <f t="shared" si="17"/>
        <v>Discounted Bulk</v>
      </c>
    </row>
    <row r="120" spans="1:24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17</v>
      </c>
      <c r="F120" s="2" t="s">
        <v>39</v>
      </c>
      <c r="G120" s="2" t="s">
        <v>18</v>
      </c>
      <c r="H120" s="2" t="s">
        <v>36</v>
      </c>
      <c r="I120" s="2" t="s">
        <v>32</v>
      </c>
      <c r="J120" s="2" t="s">
        <v>33</v>
      </c>
      <c r="K120" s="2" t="s">
        <v>34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9"/>
        <v>26717.439999999999</v>
      </c>
      <c r="Q120" s="2" t="str">
        <f t="shared" si="10"/>
        <v>Yes</v>
      </c>
      <c r="R120" s="2" t="str">
        <f t="shared" si="11"/>
        <v>No</v>
      </c>
      <c r="S120" s="2" t="str">
        <f t="shared" si="12"/>
        <v>Yes</v>
      </c>
      <c r="T120" s="2" t="str">
        <f t="shared" si="13"/>
        <v>Normal</v>
      </c>
      <c r="U120" s="2" t="str">
        <f t="shared" si="14"/>
        <v>No</v>
      </c>
      <c r="V120" s="2" t="str">
        <f t="shared" si="15"/>
        <v>No</v>
      </c>
      <c r="W120" s="2" t="str">
        <f t="shared" si="16"/>
        <v>Regular</v>
      </c>
      <c r="X120" s="2" t="str">
        <f t="shared" si="17"/>
        <v>Discounted Bulk</v>
      </c>
    </row>
    <row r="121" spans="1:24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41</v>
      </c>
      <c r="F121" s="2" t="s">
        <v>24</v>
      </c>
      <c r="G121" s="2" t="s">
        <v>25</v>
      </c>
      <c r="H121" s="2" t="s">
        <v>43</v>
      </c>
      <c r="I121" s="2" t="s">
        <v>53</v>
      </c>
      <c r="J121" s="2" t="s">
        <v>54</v>
      </c>
      <c r="K121" s="2" t="s">
        <v>48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9"/>
        <v>20261.22</v>
      </c>
      <c r="Q121" s="2" t="str">
        <f t="shared" si="10"/>
        <v>Yes</v>
      </c>
      <c r="R121" s="2" t="str">
        <f t="shared" si="11"/>
        <v>No</v>
      </c>
      <c r="S121" s="2" t="str">
        <f t="shared" si="12"/>
        <v>Yes</v>
      </c>
      <c r="T121" s="2" t="str">
        <f t="shared" si="13"/>
        <v>Normal</v>
      </c>
      <c r="U121" s="2" t="str">
        <f t="shared" si="14"/>
        <v>Yes</v>
      </c>
      <c r="V121" s="2" t="str">
        <f t="shared" si="15"/>
        <v>Yes</v>
      </c>
      <c r="W121" s="2" t="str">
        <f t="shared" si="16"/>
        <v>Premium</v>
      </c>
      <c r="X121" s="2" t="str">
        <f t="shared" si="17"/>
        <v>Discounted Bulk</v>
      </c>
    </row>
    <row r="122" spans="1:24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17</v>
      </c>
      <c r="F122" s="2" t="s">
        <v>17</v>
      </c>
      <c r="G122" s="2" t="s">
        <v>25</v>
      </c>
      <c r="H122" s="2" t="s">
        <v>36</v>
      </c>
      <c r="I122" s="2" t="s">
        <v>58</v>
      </c>
      <c r="J122" s="2" t="s">
        <v>63</v>
      </c>
      <c r="K122" s="2" t="s">
        <v>34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9"/>
        <v>14161.400000000001</v>
      </c>
      <c r="Q122" s="2" t="str">
        <f t="shared" si="10"/>
        <v>Yes</v>
      </c>
      <c r="R122" s="2" t="str">
        <f t="shared" si="11"/>
        <v>No</v>
      </c>
      <c r="S122" s="2" t="str">
        <f t="shared" si="12"/>
        <v>Yes</v>
      </c>
      <c r="T122" s="2" t="str">
        <f t="shared" si="13"/>
        <v>Normal</v>
      </c>
      <c r="U122" s="2" t="str">
        <f t="shared" si="14"/>
        <v>Yes</v>
      </c>
      <c r="V122" s="2" t="str">
        <f t="shared" si="15"/>
        <v>Yes</v>
      </c>
      <c r="W122" s="2" t="str">
        <f t="shared" si="16"/>
        <v>Regular</v>
      </c>
      <c r="X122" s="2" t="str">
        <f t="shared" si="17"/>
        <v>Discounted Bulk</v>
      </c>
    </row>
    <row r="123" spans="1:24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17</v>
      </c>
      <c r="F123" s="2" t="s">
        <v>39</v>
      </c>
      <c r="G123" s="2" t="s">
        <v>25</v>
      </c>
      <c r="H123" s="2" t="s">
        <v>43</v>
      </c>
      <c r="I123" s="2" t="s">
        <v>50</v>
      </c>
      <c r="J123" s="2" t="s">
        <v>64</v>
      </c>
      <c r="K123" s="2" t="s">
        <v>46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9"/>
        <v>6993.65</v>
      </c>
      <c r="Q123" s="2" t="str">
        <f t="shared" si="10"/>
        <v>No</v>
      </c>
      <c r="R123" s="2" t="str">
        <f t="shared" si="11"/>
        <v>No</v>
      </c>
      <c r="S123" s="2" t="str">
        <f t="shared" si="12"/>
        <v>Yes</v>
      </c>
      <c r="T123" s="2" t="str">
        <f t="shared" si="13"/>
        <v>Normal</v>
      </c>
      <c r="U123" s="2" t="str">
        <f t="shared" si="14"/>
        <v>Yes</v>
      </c>
      <c r="V123" s="2" t="str">
        <f t="shared" si="15"/>
        <v>Yes</v>
      </c>
      <c r="W123" s="2" t="str">
        <f t="shared" si="16"/>
        <v>Regular</v>
      </c>
      <c r="X123" s="2" t="str">
        <f t="shared" si="17"/>
        <v>Discounted Bulk</v>
      </c>
    </row>
    <row r="124" spans="1:24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23</v>
      </c>
      <c r="F124" s="2" t="s">
        <v>17</v>
      </c>
      <c r="G124" s="2" t="s">
        <v>25</v>
      </c>
      <c r="H124" s="2" t="s">
        <v>45</v>
      </c>
      <c r="I124" s="2" t="s">
        <v>27</v>
      </c>
      <c r="J124" s="2" t="s">
        <v>70</v>
      </c>
      <c r="K124" s="2" t="s">
        <v>48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9"/>
        <v>7353.5</v>
      </c>
      <c r="Q124" s="2" t="str">
        <f t="shared" si="10"/>
        <v>No</v>
      </c>
      <c r="R124" s="2" t="str">
        <f t="shared" si="11"/>
        <v>No</v>
      </c>
      <c r="S124" s="2" t="str">
        <f t="shared" si="12"/>
        <v>Yes</v>
      </c>
      <c r="T124" s="2" t="str">
        <f t="shared" si="13"/>
        <v>Normal</v>
      </c>
      <c r="U124" s="2" t="str">
        <f t="shared" si="14"/>
        <v>Yes</v>
      </c>
      <c r="V124" s="2" t="str">
        <f t="shared" si="15"/>
        <v>Yes</v>
      </c>
      <c r="W124" s="2" t="str">
        <f t="shared" si="16"/>
        <v>Regular</v>
      </c>
      <c r="X124" s="2" t="str">
        <f t="shared" si="17"/>
        <v>Discounted Bulk</v>
      </c>
    </row>
    <row r="125" spans="1:24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17</v>
      </c>
      <c r="F125" s="2" t="s">
        <v>42</v>
      </c>
      <c r="G125" s="2" t="s">
        <v>25</v>
      </c>
      <c r="H125" s="2" t="s">
        <v>19</v>
      </c>
      <c r="I125" s="2" t="s">
        <v>27</v>
      </c>
      <c r="J125" s="2" t="s">
        <v>62</v>
      </c>
      <c r="K125" s="2" t="s">
        <v>34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9"/>
        <v>8657.19</v>
      </c>
      <c r="Q125" s="2" t="str">
        <f t="shared" si="10"/>
        <v>No</v>
      </c>
      <c r="R125" s="2" t="str">
        <f t="shared" si="11"/>
        <v>Yes</v>
      </c>
      <c r="S125" s="2" t="str">
        <f t="shared" si="12"/>
        <v>Yes</v>
      </c>
      <c r="T125" s="2" t="str">
        <f t="shared" si="13"/>
        <v>Normal</v>
      </c>
      <c r="U125" s="2" t="str">
        <f t="shared" si="14"/>
        <v>Yes</v>
      </c>
      <c r="V125" s="2" t="str">
        <f t="shared" si="15"/>
        <v>Yes</v>
      </c>
      <c r="W125" s="2" t="str">
        <f t="shared" si="16"/>
        <v>Regular</v>
      </c>
      <c r="X125" s="2" t="str">
        <f t="shared" si="17"/>
        <v>Non Discounted Bulk</v>
      </c>
    </row>
    <row r="126" spans="1:24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17</v>
      </c>
      <c r="F126" s="2" t="s">
        <v>24</v>
      </c>
      <c r="G126" s="2" t="s">
        <v>31</v>
      </c>
      <c r="H126" s="2" t="s">
        <v>45</v>
      </c>
      <c r="I126" s="2" t="s">
        <v>53</v>
      </c>
      <c r="J126" s="2" t="s">
        <v>65</v>
      </c>
      <c r="K126" s="2" t="s">
        <v>48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9"/>
        <v>31051.71</v>
      </c>
      <c r="Q126" s="2" t="str">
        <f t="shared" si="10"/>
        <v>Yes</v>
      </c>
      <c r="R126" s="2" t="str">
        <f t="shared" si="11"/>
        <v>No</v>
      </c>
      <c r="S126" s="2" t="str">
        <f t="shared" si="12"/>
        <v>No</v>
      </c>
      <c r="T126" s="2" t="str">
        <f t="shared" si="13"/>
        <v>Normal</v>
      </c>
      <c r="U126" s="2" t="str">
        <f t="shared" si="14"/>
        <v>No</v>
      </c>
      <c r="V126" s="2" t="str">
        <f t="shared" si="15"/>
        <v>No</v>
      </c>
      <c r="W126" s="2" t="str">
        <f t="shared" si="16"/>
        <v>Premium</v>
      </c>
      <c r="X126" s="2" t="str">
        <f t="shared" si="17"/>
        <v>Discounted Bulk</v>
      </c>
    </row>
    <row r="127" spans="1:24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23</v>
      </c>
      <c r="F127" s="2" t="s">
        <v>55</v>
      </c>
      <c r="G127" s="2" t="s">
        <v>25</v>
      </c>
      <c r="H127" s="2" t="s">
        <v>19</v>
      </c>
      <c r="I127" s="2" t="s">
        <v>32</v>
      </c>
      <c r="J127" s="2" t="s">
        <v>49</v>
      </c>
      <c r="K127" s="2" t="s">
        <v>29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9"/>
        <v>29777.759999999998</v>
      </c>
      <c r="Q127" s="2" t="str">
        <f t="shared" si="10"/>
        <v>Yes</v>
      </c>
      <c r="R127" s="2" t="str">
        <f t="shared" si="11"/>
        <v>No</v>
      </c>
      <c r="S127" s="2" t="str">
        <f t="shared" si="12"/>
        <v>Yes</v>
      </c>
      <c r="T127" s="2" t="str">
        <f t="shared" si="13"/>
        <v>Normal</v>
      </c>
      <c r="U127" s="2" t="str">
        <f t="shared" si="14"/>
        <v>Yes</v>
      </c>
      <c r="V127" s="2" t="str">
        <f t="shared" si="15"/>
        <v>Yes</v>
      </c>
      <c r="W127" s="2" t="str">
        <f t="shared" si="16"/>
        <v>Regular</v>
      </c>
      <c r="X127" s="2" t="str">
        <f t="shared" si="17"/>
        <v>Non Discounted Bulk</v>
      </c>
    </row>
    <row r="128" spans="1:24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38</v>
      </c>
      <c r="F128" s="2" t="s">
        <v>55</v>
      </c>
      <c r="G128" s="2" t="s">
        <v>25</v>
      </c>
      <c r="H128" s="2" t="s">
        <v>19</v>
      </c>
      <c r="I128" s="2" t="s">
        <v>32</v>
      </c>
      <c r="J128" s="2" t="s">
        <v>40</v>
      </c>
      <c r="K128" s="2" t="s">
        <v>22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9"/>
        <v>11077.26</v>
      </c>
      <c r="Q128" s="2" t="str">
        <f t="shared" si="10"/>
        <v>No</v>
      </c>
      <c r="R128" s="2" t="str">
        <f t="shared" si="11"/>
        <v>No</v>
      </c>
      <c r="S128" s="2" t="str">
        <f t="shared" si="12"/>
        <v>Yes</v>
      </c>
      <c r="T128" s="2" t="str">
        <f t="shared" si="13"/>
        <v>Normal</v>
      </c>
      <c r="U128" s="2" t="str">
        <f t="shared" si="14"/>
        <v>Yes</v>
      </c>
      <c r="V128" s="2" t="str">
        <f t="shared" si="15"/>
        <v>Yes</v>
      </c>
      <c r="W128" s="2" t="str">
        <f t="shared" si="16"/>
        <v>Regular</v>
      </c>
      <c r="X128" s="2" t="str">
        <f t="shared" si="17"/>
        <v>Discounted Bulk</v>
      </c>
    </row>
    <row r="129" spans="1:24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47</v>
      </c>
      <c r="F129" s="2" t="s">
        <v>39</v>
      </c>
      <c r="G129" s="2" t="s">
        <v>31</v>
      </c>
      <c r="H129" s="2" t="s">
        <v>36</v>
      </c>
      <c r="I129" s="2" t="s">
        <v>27</v>
      </c>
      <c r="J129" s="2" t="s">
        <v>62</v>
      </c>
      <c r="K129" s="2" t="s">
        <v>48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9"/>
        <v>3958.56</v>
      </c>
      <c r="Q129" s="2" t="str">
        <f t="shared" si="10"/>
        <v>No</v>
      </c>
      <c r="R129" s="2" t="str">
        <f t="shared" si="11"/>
        <v>No</v>
      </c>
      <c r="S129" s="2" t="str">
        <f t="shared" si="12"/>
        <v>No</v>
      </c>
      <c r="T129" s="2" t="str">
        <f t="shared" si="13"/>
        <v>Normal</v>
      </c>
      <c r="U129" s="2" t="str">
        <f t="shared" si="14"/>
        <v>No</v>
      </c>
      <c r="V129" s="2" t="str">
        <f t="shared" si="15"/>
        <v>No</v>
      </c>
      <c r="W129" s="2" t="str">
        <f t="shared" si="16"/>
        <v>Regular</v>
      </c>
      <c r="X129" s="2" t="str">
        <f t="shared" si="17"/>
        <v>Discounted Bulk</v>
      </c>
    </row>
    <row r="130" spans="1:24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35</v>
      </c>
      <c r="F130" s="2" t="s">
        <v>30</v>
      </c>
      <c r="G130" s="2" t="s">
        <v>25</v>
      </c>
      <c r="H130" s="2" t="s">
        <v>45</v>
      </c>
      <c r="I130" s="2" t="s">
        <v>53</v>
      </c>
      <c r="J130" s="2" t="s">
        <v>57</v>
      </c>
      <c r="K130" s="2" t="s">
        <v>22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9"/>
        <v>4865.01</v>
      </c>
      <c r="Q130" s="2" t="str">
        <f t="shared" si="10"/>
        <v>No</v>
      </c>
      <c r="R130" s="2" t="str">
        <f t="shared" si="11"/>
        <v>No</v>
      </c>
      <c r="S130" s="2" t="str">
        <f t="shared" si="12"/>
        <v>Yes</v>
      </c>
      <c r="T130" s="2" t="str">
        <f t="shared" si="13"/>
        <v>Normal</v>
      </c>
      <c r="U130" s="2" t="str">
        <f t="shared" si="14"/>
        <v>Yes</v>
      </c>
      <c r="V130" s="2" t="str">
        <f t="shared" si="15"/>
        <v>Yes</v>
      </c>
      <c r="W130" s="2" t="str">
        <f t="shared" si="16"/>
        <v>Regular</v>
      </c>
      <c r="X130" s="2" t="str">
        <f t="shared" si="17"/>
        <v>Discounted Bulk</v>
      </c>
    </row>
    <row r="131" spans="1:24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16</v>
      </c>
      <c r="F131" s="2" t="s">
        <v>42</v>
      </c>
      <c r="G131" s="2" t="s">
        <v>18</v>
      </c>
      <c r="H131" s="2" t="s">
        <v>43</v>
      </c>
      <c r="I131" s="2" t="s">
        <v>58</v>
      </c>
      <c r="J131" s="2" t="s">
        <v>63</v>
      </c>
      <c r="K131" s="2" t="s">
        <v>34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18">L131*M131</f>
        <v>2534.4699999999998</v>
      </c>
      <c r="Q131" s="2" t="str">
        <f t="shared" ref="Q131:Q194" si="19">IF(AND(L131&gt;=5,O131&gt;=10000),"Yes","No")</f>
        <v>No</v>
      </c>
      <c r="R131" s="2" t="str">
        <f t="shared" ref="R131:R194" si="20">IF(AND(L131&gt;=8,N131&gt;=10),"Yes","No")</f>
        <v>No</v>
      </c>
      <c r="S131" s="2" t="str">
        <f t="shared" ref="S131:S194" si="21">IF(OR(G131="Website",G131="Mobile App"),"Yes","No")</f>
        <v>Yes</v>
      </c>
      <c r="T131" s="2" t="str">
        <f t="shared" ref="T131:T194" si="22">IF(AND(L131&lt;3,O131&lt;=1000),"Special Attention","Normal")</f>
        <v>Normal</v>
      </c>
      <c r="U131" s="2" t="str">
        <f t="shared" ref="U131:U194" si="23">IF(NOT(G131="Website"),"No","Yes")</f>
        <v>No</v>
      </c>
      <c r="V131" s="2" t="str">
        <f t="shared" ref="V131:V194" si="24">IF((G131&lt;&gt;"Website"), "No","Yes")</f>
        <v>No</v>
      </c>
      <c r="W131" s="2" t="str">
        <f t="shared" ref="W131:W194" si="25">IF(AND(O131&gt;15000,OR(I131="Electronics",I131="Beauty")),"Premium","Regular")</f>
        <v>Regular</v>
      </c>
      <c r="X131" s="2" t="str">
        <f t="shared" ref="X131:X194" si="26">IF(AND(L131&gt;=8,NOT(N131=0)),"Non Discounted Bulk","Discounted Bulk")</f>
        <v>Discounted Bulk</v>
      </c>
    </row>
    <row r="132" spans="1:24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35</v>
      </c>
      <c r="F132" s="2" t="s">
        <v>39</v>
      </c>
      <c r="G132" s="2" t="s">
        <v>25</v>
      </c>
      <c r="H132" s="2" t="s">
        <v>45</v>
      </c>
      <c r="I132" s="2" t="s">
        <v>32</v>
      </c>
      <c r="J132" s="2" t="s">
        <v>33</v>
      </c>
      <c r="K132" s="2" t="s">
        <v>22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18"/>
        <v>13296.15</v>
      </c>
      <c r="Q132" s="2" t="str">
        <f t="shared" si="19"/>
        <v>Yes</v>
      </c>
      <c r="R132" s="2" t="str">
        <f t="shared" si="20"/>
        <v>No</v>
      </c>
      <c r="S132" s="2" t="str">
        <f t="shared" si="21"/>
        <v>Yes</v>
      </c>
      <c r="T132" s="2" t="str">
        <f t="shared" si="22"/>
        <v>Normal</v>
      </c>
      <c r="U132" s="2" t="str">
        <f t="shared" si="23"/>
        <v>Yes</v>
      </c>
      <c r="V132" s="2" t="str">
        <f t="shared" si="24"/>
        <v>Yes</v>
      </c>
      <c r="W132" s="2" t="str">
        <f t="shared" si="25"/>
        <v>Regular</v>
      </c>
      <c r="X132" s="2" t="str">
        <f t="shared" si="26"/>
        <v>Discounted Bulk</v>
      </c>
    </row>
    <row r="133" spans="1:24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35</v>
      </c>
      <c r="F133" s="2" t="s">
        <v>30</v>
      </c>
      <c r="G133" s="2" t="s">
        <v>25</v>
      </c>
      <c r="H133" s="2" t="s">
        <v>36</v>
      </c>
      <c r="I133" s="2" t="s">
        <v>58</v>
      </c>
      <c r="J133" s="2" t="s">
        <v>59</v>
      </c>
      <c r="K133" s="2" t="s">
        <v>48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18"/>
        <v>12614.92</v>
      </c>
      <c r="Q133" s="2" t="str">
        <f t="shared" si="19"/>
        <v>No</v>
      </c>
      <c r="R133" s="2" t="str">
        <f t="shared" si="20"/>
        <v>No</v>
      </c>
      <c r="S133" s="2" t="str">
        <f t="shared" si="21"/>
        <v>Yes</v>
      </c>
      <c r="T133" s="2" t="str">
        <f t="shared" si="22"/>
        <v>Normal</v>
      </c>
      <c r="U133" s="2" t="str">
        <f t="shared" si="23"/>
        <v>Yes</v>
      </c>
      <c r="V133" s="2" t="str">
        <f t="shared" si="24"/>
        <v>Yes</v>
      </c>
      <c r="W133" s="2" t="str">
        <f t="shared" si="25"/>
        <v>Regular</v>
      </c>
      <c r="X133" s="2" t="str">
        <f t="shared" si="26"/>
        <v>Discounted Bulk</v>
      </c>
    </row>
    <row r="134" spans="1:24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41</v>
      </c>
      <c r="F134" s="2" t="s">
        <v>17</v>
      </c>
      <c r="G134" s="2" t="s">
        <v>18</v>
      </c>
      <c r="H134" s="2" t="s">
        <v>19</v>
      </c>
      <c r="I134" s="2" t="s">
        <v>32</v>
      </c>
      <c r="J134" s="2" t="s">
        <v>49</v>
      </c>
      <c r="K134" s="2" t="s">
        <v>29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18"/>
        <v>3990.85</v>
      </c>
      <c r="Q134" s="2" t="str">
        <f t="shared" si="19"/>
        <v>No</v>
      </c>
      <c r="R134" s="2" t="str">
        <f t="shared" si="20"/>
        <v>No</v>
      </c>
      <c r="S134" s="2" t="str">
        <f t="shared" si="21"/>
        <v>Yes</v>
      </c>
      <c r="T134" s="2" t="str">
        <f t="shared" si="22"/>
        <v>Normal</v>
      </c>
      <c r="U134" s="2" t="str">
        <f t="shared" si="23"/>
        <v>No</v>
      </c>
      <c r="V134" s="2" t="str">
        <f t="shared" si="24"/>
        <v>No</v>
      </c>
      <c r="W134" s="2" t="str">
        <f t="shared" si="25"/>
        <v>Regular</v>
      </c>
      <c r="X134" s="2" t="str">
        <f t="shared" si="26"/>
        <v>Discounted Bulk</v>
      </c>
    </row>
    <row r="135" spans="1:24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47</v>
      </c>
      <c r="F135" s="2" t="s">
        <v>42</v>
      </c>
      <c r="G135" s="2" t="s">
        <v>18</v>
      </c>
      <c r="H135" s="2" t="s">
        <v>36</v>
      </c>
      <c r="I135" s="2" t="s">
        <v>32</v>
      </c>
      <c r="J135" s="2" t="s">
        <v>66</v>
      </c>
      <c r="K135" s="2" t="s">
        <v>34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18"/>
        <v>7086.88</v>
      </c>
      <c r="Q135" s="2" t="str">
        <f t="shared" si="19"/>
        <v>No</v>
      </c>
      <c r="R135" s="2" t="str">
        <f t="shared" si="20"/>
        <v>Yes</v>
      </c>
      <c r="S135" s="2" t="str">
        <f t="shared" si="21"/>
        <v>Yes</v>
      </c>
      <c r="T135" s="2" t="str">
        <f t="shared" si="22"/>
        <v>Normal</v>
      </c>
      <c r="U135" s="2" t="str">
        <f t="shared" si="23"/>
        <v>No</v>
      </c>
      <c r="V135" s="2" t="str">
        <f t="shared" si="24"/>
        <v>No</v>
      </c>
      <c r="W135" s="2" t="str">
        <f t="shared" si="25"/>
        <v>Regular</v>
      </c>
      <c r="X135" s="2" t="str">
        <f t="shared" si="26"/>
        <v>Non Discounted Bulk</v>
      </c>
    </row>
    <row r="136" spans="1:24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41</v>
      </c>
      <c r="F136" s="2" t="s">
        <v>17</v>
      </c>
      <c r="G136" s="2" t="s">
        <v>18</v>
      </c>
      <c r="H136" s="2" t="s">
        <v>26</v>
      </c>
      <c r="I136" s="2" t="s">
        <v>20</v>
      </c>
      <c r="J136" s="2" t="s">
        <v>44</v>
      </c>
      <c r="K136" s="2" t="s">
        <v>48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18"/>
        <v>11517.960000000001</v>
      </c>
      <c r="Q136" s="2" t="str">
        <f t="shared" si="19"/>
        <v>Yes</v>
      </c>
      <c r="R136" s="2" t="str">
        <f t="shared" si="20"/>
        <v>No</v>
      </c>
      <c r="S136" s="2" t="str">
        <f t="shared" si="21"/>
        <v>Yes</v>
      </c>
      <c r="T136" s="2" t="str">
        <f t="shared" si="22"/>
        <v>Normal</v>
      </c>
      <c r="U136" s="2" t="str">
        <f t="shared" si="23"/>
        <v>No</v>
      </c>
      <c r="V136" s="2" t="str">
        <f t="shared" si="24"/>
        <v>No</v>
      </c>
      <c r="W136" s="2" t="str">
        <f t="shared" si="25"/>
        <v>Regular</v>
      </c>
      <c r="X136" s="2" t="str">
        <f t="shared" si="26"/>
        <v>Discounted Bulk</v>
      </c>
    </row>
    <row r="137" spans="1:24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47</v>
      </c>
      <c r="F137" s="2" t="s">
        <v>24</v>
      </c>
      <c r="G137" s="2" t="s">
        <v>18</v>
      </c>
      <c r="H137" s="2" t="s">
        <v>26</v>
      </c>
      <c r="I137" s="2" t="s">
        <v>32</v>
      </c>
      <c r="J137" s="2" t="s">
        <v>40</v>
      </c>
      <c r="K137" s="2" t="s">
        <v>34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18"/>
        <v>10855.74</v>
      </c>
      <c r="Q137" s="2" t="str">
        <f t="shared" si="19"/>
        <v>Yes</v>
      </c>
      <c r="R137" s="2" t="str">
        <f t="shared" si="20"/>
        <v>No</v>
      </c>
      <c r="S137" s="2" t="str">
        <f t="shared" si="21"/>
        <v>Yes</v>
      </c>
      <c r="T137" s="2" t="str">
        <f t="shared" si="22"/>
        <v>Normal</v>
      </c>
      <c r="U137" s="2" t="str">
        <f t="shared" si="23"/>
        <v>No</v>
      </c>
      <c r="V137" s="2" t="str">
        <f t="shared" si="24"/>
        <v>No</v>
      </c>
      <c r="W137" s="2" t="str">
        <f t="shared" si="25"/>
        <v>Regular</v>
      </c>
      <c r="X137" s="2" t="str">
        <f t="shared" si="26"/>
        <v>Discounted Bulk</v>
      </c>
    </row>
    <row r="138" spans="1:24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23</v>
      </c>
      <c r="F138" s="2" t="s">
        <v>42</v>
      </c>
      <c r="G138" s="2" t="s">
        <v>25</v>
      </c>
      <c r="H138" s="2" t="s">
        <v>43</v>
      </c>
      <c r="I138" s="2" t="s">
        <v>50</v>
      </c>
      <c r="J138" s="2" t="s">
        <v>51</v>
      </c>
      <c r="K138" s="2" t="s">
        <v>46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18"/>
        <v>2644.6</v>
      </c>
      <c r="Q138" s="2" t="str">
        <f t="shared" si="19"/>
        <v>No</v>
      </c>
      <c r="R138" s="2" t="str">
        <f t="shared" si="20"/>
        <v>No</v>
      </c>
      <c r="S138" s="2" t="str">
        <f t="shared" si="21"/>
        <v>Yes</v>
      </c>
      <c r="T138" s="2" t="str">
        <f t="shared" si="22"/>
        <v>Normal</v>
      </c>
      <c r="U138" s="2" t="str">
        <f t="shared" si="23"/>
        <v>Yes</v>
      </c>
      <c r="V138" s="2" t="str">
        <f t="shared" si="24"/>
        <v>Yes</v>
      </c>
      <c r="W138" s="2" t="str">
        <f t="shared" si="25"/>
        <v>Regular</v>
      </c>
      <c r="X138" s="2" t="str">
        <f t="shared" si="26"/>
        <v>Discounted Bulk</v>
      </c>
    </row>
    <row r="139" spans="1:24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23</v>
      </c>
      <c r="F139" s="2" t="s">
        <v>30</v>
      </c>
      <c r="G139" s="2" t="s">
        <v>18</v>
      </c>
      <c r="H139" s="2" t="s">
        <v>36</v>
      </c>
      <c r="I139" s="2" t="s">
        <v>53</v>
      </c>
      <c r="J139" s="2" t="s">
        <v>54</v>
      </c>
      <c r="K139" s="2" t="s">
        <v>22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18"/>
        <v>912.67</v>
      </c>
      <c r="Q139" s="2" t="str">
        <f t="shared" si="19"/>
        <v>No</v>
      </c>
      <c r="R139" s="2" t="str">
        <f t="shared" si="20"/>
        <v>No</v>
      </c>
      <c r="S139" s="2" t="str">
        <f t="shared" si="21"/>
        <v>Yes</v>
      </c>
      <c r="T139" s="2" t="str">
        <f t="shared" si="22"/>
        <v>Special Attention</v>
      </c>
      <c r="U139" s="2" t="str">
        <f t="shared" si="23"/>
        <v>No</v>
      </c>
      <c r="V139" s="2" t="str">
        <f t="shared" si="24"/>
        <v>No</v>
      </c>
      <c r="W139" s="2" t="str">
        <f t="shared" si="25"/>
        <v>Regular</v>
      </c>
      <c r="X139" s="2" t="str">
        <f t="shared" si="26"/>
        <v>Discounted Bulk</v>
      </c>
    </row>
    <row r="140" spans="1:24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47</v>
      </c>
      <c r="F140" s="2" t="s">
        <v>24</v>
      </c>
      <c r="G140" s="2" t="s">
        <v>18</v>
      </c>
      <c r="H140" s="2" t="s">
        <v>43</v>
      </c>
      <c r="I140" s="2" t="s">
        <v>53</v>
      </c>
      <c r="J140" s="2" t="s">
        <v>54</v>
      </c>
      <c r="K140" s="2" t="s">
        <v>46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18"/>
        <v>805.82</v>
      </c>
      <c r="Q140" s="2" t="str">
        <f t="shared" si="19"/>
        <v>No</v>
      </c>
      <c r="R140" s="2" t="str">
        <f t="shared" si="20"/>
        <v>No</v>
      </c>
      <c r="S140" s="2" t="str">
        <f t="shared" si="21"/>
        <v>Yes</v>
      </c>
      <c r="T140" s="2" t="str">
        <f t="shared" si="22"/>
        <v>Special Attention</v>
      </c>
      <c r="U140" s="2" t="str">
        <f t="shared" si="23"/>
        <v>No</v>
      </c>
      <c r="V140" s="2" t="str">
        <f t="shared" si="24"/>
        <v>No</v>
      </c>
      <c r="W140" s="2" t="str">
        <f t="shared" si="25"/>
        <v>Regular</v>
      </c>
      <c r="X140" s="2" t="str">
        <f t="shared" si="26"/>
        <v>Discounted Bulk</v>
      </c>
    </row>
    <row r="141" spans="1:24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17</v>
      </c>
      <c r="F141" s="2" t="s">
        <v>55</v>
      </c>
      <c r="G141" s="2" t="s">
        <v>31</v>
      </c>
      <c r="H141" s="2" t="s">
        <v>43</v>
      </c>
      <c r="I141" s="2" t="s">
        <v>58</v>
      </c>
      <c r="J141" s="2" t="s">
        <v>60</v>
      </c>
      <c r="K141" s="2" t="s">
        <v>48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18"/>
        <v>14261.64</v>
      </c>
      <c r="Q141" s="2" t="str">
        <f t="shared" si="19"/>
        <v>No</v>
      </c>
      <c r="R141" s="2" t="str">
        <f t="shared" si="20"/>
        <v>No</v>
      </c>
      <c r="S141" s="2" t="str">
        <f t="shared" si="21"/>
        <v>No</v>
      </c>
      <c r="T141" s="2" t="str">
        <f t="shared" si="22"/>
        <v>Normal</v>
      </c>
      <c r="U141" s="2" t="str">
        <f t="shared" si="23"/>
        <v>No</v>
      </c>
      <c r="V141" s="2" t="str">
        <f t="shared" si="24"/>
        <v>No</v>
      </c>
      <c r="W141" s="2" t="str">
        <f t="shared" si="25"/>
        <v>Regular</v>
      </c>
      <c r="X141" s="2" t="str">
        <f t="shared" si="26"/>
        <v>Discounted Bulk</v>
      </c>
    </row>
    <row r="142" spans="1:24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38</v>
      </c>
      <c r="F142" s="2" t="s">
        <v>30</v>
      </c>
      <c r="G142" s="2" t="s">
        <v>18</v>
      </c>
      <c r="H142" s="2" t="s">
        <v>26</v>
      </c>
      <c r="I142" s="2" t="s">
        <v>32</v>
      </c>
      <c r="J142" s="2" t="s">
        <v>40</v>
      </c>
      <c r="K142" s="2" t="s">
        <v>29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18"/>
        <v>3532.84</v>
      </c>
      <c r="Q142" s="2" t="str">
        <f t="shared" si="19"/>
        <v>No</v>
      </c>
      <c r="R142" s="2" t="str">
        <f t="shared" si="20"/>
        <v>No</v>
      </c>
      <c r="S142" s="2" t="str">
        <f t="shared" si="21"/>
        <v>Yes</v>
      </c>
      <c r="T142" s="2" t="str">
        <f t="shared" si="22"/>
        <v>Normal</v>
      </c>
      <c r="U142" s="2" t="str">
        <f t="shared" si="23"/>
        <v>No</v>
      </c>
      <c r="V142" s="2" t="str">
        <f t="shared" si="24"/>
        <v>No</v>
      </c>
      <c r="W142" s="2" t="str">
        <f t="shared" si="25"/>
        <v>Regular</v>
      </c>
      <c r="X142" s="2" t="str">
        <f t="shared" si="26"/>
        <v>Discounted Bulk</v>
      </c>
    </row>
    <row r="143" spans="1:24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17</v>
      </c>
      <c r="F143" s="2" t="s">
        <v>39</v>
      </c>
      <c r="G143" s="2" t="s">
        <v>18</v>
      </c>
      <c r="H143" s="2" t="s">
        <v>43</v>
      </c>
      <c r="I143" s="2" t="s">
        <v>50</v>
      </c>
      <c r="J143" s="2" t="s">
        <v>52</v>
      </c>
      <c r="K143" s="2" t="s">
        <v>34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18"/>
        <v>2063.0500000000002</v>
      </c>
      <c r="Q143" s="2" t="str">
        <f t="shared" si="19"/>
        <v>No</v>
      </c>
      <c r="R143" s="2" t="str">
        <f t="shared" si="20"/>
        <v>No</v>
      </c>
      <c r="S143" s="2" t="str">
        <f t="shared" si="21"/>
        <v>Yes</v>
      </c>
      <c r="T143" s="2" t="str">
        <f t="shared" si="22"/>
        <v>Normal</v>
      </c>
      <c r="U143" s="2" t="str">
        <f t="shared" si="23"/>
        <v>No</v>
      </c>
      <c r="V143" s="2" t="str">
        <f t="shared" si="24"/>
        <v>No</v>
      </c>
      <c r="W143" s="2" t="str">
        <f t="shared" si="25"/>
        <v>Regular</v>
      </c>
      <c r="X143" s="2" t="str">
        <f t="shared" si="26"/>
        <v>Discounted Bulk</v>
      </c>
    </row>
    <row r="144" spans="1:24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38</v>
      </c>
      <c r="F144" s="2" t="s">
        <v>55</v>
      </c>
      <c r="G144" s="2" t="s">
        <v>31</v>
      </c>
      <c r="H144" s="2" t="s">
        <v>26</v>
      </c>
      <c r="I144" s="2" t="s">
        <v>58</v>
      </c>
      <c r="J144" s="2" t="s">
        <v>59</v>
      </c>
      <c r="K144" s="2" t="s">
        <v>22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18"/>
        <v>25761.61</v>
      </c>
      <c r="Q144" s="2" t="str">
        <f t="shared" si="19"/>
        <v>Yes</v>
      </c>
      <c r="R144" s="2" t="str">
        <f t="shared" si="20"/>
        <v>No</v>
      </c>
      <c r="S144" s="2" t="str">
        <f t="shared" si="21"/>
        <v>No</v>
      </c>
      <c r="T144" s="2" t="str">
        <f t="shared" si="22"/>
        <v>Normal</v>
      </c>
      <c r="U144" s="2" t="str">
        <f t="shared" si="23"/>
        <v>No</v>
      </c>
      <c r="V144" s="2" t="str">
        <f t="shared" si="24"/>
        <v>No</v>
      </c>
      <c r="W144" s="2" t="str">
        <f t="shared" si="25"/>
        <v>Regular</v>
      </c>
      <c r="X144" s="2" t="str">
        <f t="shared" si="26"/>
        <v>Discounted Bulk</v>
      </c>
    </row>
    <row r="145" spans="1:24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41</v>
      </c>
      <c r="F145" s="2" t="s">
        <v>55</v>
      </c>
      <c r="G145" s="2" t="s">
        <v>31</v>
      </c>
      <c r="H145" s="2" t="s">
        <v>19</v>
      </c>
      <c r="I145" s="2" t="s">
        <v>20</v>
      </c>
      <c r="J145" s="2" t="s">
        <v>56</v>
      </c>
      <c r="K145" s="2" t="s">
        <v>34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18"/>
        <v>25109.759999999998</v>
      </c>
      <c r="Q145" s="2" t="str">
        <f t="shared" si="19"/>
        <v>Yes</v>
      </c>
      <c r="R145" s="2" t="str">
        <f t="shared" si="20"/>
        <v>Yes</v>
      </c>
      <c r="S145" s="2" t="str">
        <f t="shared" si="21"/>
        <v>No</v>
      </c>
      <c r="T145" s="2" t="str">
        <f t="shared" si="22"/>
        <v>Normal</v>
      </c>
      <c r="U145" s="2" t="str">
        <f t="shared" si="23"/>
        <v>No</v>
      </c>
      <c r="V145" s="2" t="str">
        <f t="shared" si="24"/>
        <v>No</v>
      </c>
      <c r="W145" s="2" t="str">
        <f t="shared" si="25"/>
        <v>Regular</v>
      </c>
      <c r="X145" s="2" t="str">
        <f t="shared" si="26"/>
        <v>Non Discounted Bulk</v>
      </c>
    </row>
    <row r="146" spans="1:24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38</v>
      </c>
      <c r="F146" s="2" t="s">
        <v>39</v>
      </c>
      <c r="G146" s="2" t="s">
        <v>25</v>
      </c>
      <c r="H146" s="2" t="s">
        <v>36</v>
      </c>
      <c r="I146" s="2" t="s">
        <v>58</v>
      </c>
      <c r="J146" s="2" t="s">
        <v>60</v>
      </c>
      <c r="K146" s="2" t="s">
        <v>48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18"/>
        <v>3914.58</v>
      </c>
      <c r="Q146" s="2" t="str">
        <f t="shared" si="19"/>
        <v>No</v>
      </c>
      <c r="R146" s="2" t="str">
        <f t="shared" si="20"/>
        <v>No</v>
      </c>
      <c r="S146" s="2" t="str">
        <f t="shared" si="21"/>
        <v>Yes</v>
      </c>
      <c r="T146" s="2" t="str">
        <f t="shared" si="22"/>
        <v>Normal</v>
      </c>
      <c r="U146" s="2" t="str">
        <f t="shared" si="23"/>
        <v>Yes</v>
      </c>
      <c r="V146" s="2" t="str">
        <f t="shared" si="24"/>
        <v>Yes</v>
      </c>
      <c r="W146" s="2" t="str">
        <f t="shared" si="25"/>
        <v>Regular</v>
      </c>
      <c r="X146" s="2" t="str">
        <f t="shared" si="26"/>
        <v>Discounted Bulk</v>
      </c>
    </row>
    <row r="147" spans="1:24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41</v>
      </c>
      <c r="F147" s="2" t="s">
        <v>42</v>
      </c>
      <c r="G147" s="2" t="s">
        <v>31</v>
      </c>
      <c r="H147" s="2" t="s">
        <v>43</v>
      </c>
      <c r="I147" s="2" t="s">
        <v>58</v>
      </c>
      <c r="J147" s="2" t="s">
        <v>63</v>
      </c>
      <c r="K147" s="2" t="s">
        <v>34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18"/>
        <v>9307.48</v>
      </c>
      <c r="Q147" s="2" t="str">
        <f t="shared" si="19"/>
        <v>No</v>
      </c>
      <c r="R147" s="2" t="str">
        <f t="shared" si="20"/>
        <v>No</v>
      </c>
      <c r="S147" s="2" t="str">
        <f t="shared" si="21"/>
        <v>No</v>
      </c>
      <c r="T147" s="2" t="str">
        <f t="shared" si="22"/>
        <v>Normal</v>
      </c>
      <c r="U147" s="2" t="str">
        <f t="shared" si="23"/>
        <v>No</v>
      </c>
      <c r="V147" s="2" t="str">
        <f t="shared" si="24"/>
        <v>No</v>
      </c>
      <c r="W147" s="2" t="str">
        <f t="shared" si="25"/>
        <v>Regular</v>
      </c>
      <c r="X147" s="2" t="str">
        <f t="shared" si="26"/>
        <v>Discounted Bulk</v>
      </c>
    </row>
    <row r="148" spans="1:24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23</v>
      </c>
      <c r="F148" s="2" t="s">
        <v>55</v>
      </c>
      <c r="G148" s="2" t="s">
        <v>25</v>
      </c>
      <c r="H148" s="2" t="s">
        <v>26</v>
      </c>
      <c r="I148" s="2" t="s">
        <v>32</v>
      </c>
      <c r="J148" s="2" t="s">
        <v>49</v>
      </c>
      <c r="K148" s="2" t="s">
        <v>22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18"/>
        <v>11116.02</v>
      </c>
      <c r="Q148" s="2" t="str">
        <f t="shared" si="19"/>
        <v>Yes</v>
      </c>
      <c r="R148" s="2" t="str">
        <f t="shared" si="20"/>
        <v>No</v>
      </c>
      <c r="S148" s="2" t="str">
        <f t="shared" si="21"/>
        <v>Yes</v>
      </c>
      <c r="T148" s="2" t="str">
        <f t="shared" si="22"/>
        <v>Normal</v>
      </c>
      <c r="U148" s="2" t="str">
        <f t="shared" si="23"/>
        <v>Yes</v>
      </c>
      <c r="V148" s="2" t="str">
        <f t="shared" si="24"/>
        <v>Yes</v>
      </c>
      <c r="W148" s="2" t="str">
        <f t="shared" si="25"/>
        <v>Regular</v>
      </c>
      <c r="X148" s="2" t="str">
        <f t="shared" si="26"/>
        <v>Discounted Bulk</v>
      </c>
    </row>
    <row r="149" spans="1:24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35</v>
      </c>
      <c r="F149" s="2" t="s">
        <v>30</v>
      </c>
      <c r="G149" s="2" t="s">
        <v>31</v>
      </c>
      <c r="H149" s="2" t="s">
        <v>45</v>
      </c>
      <c r="I149" s="2" t="s">
        <v>20</v>
      </c>
      <c r="J149" s="2" t="s">
        <v>21</v>
      </c>
      <c r="K149" s="2" t="s">
        <v>48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18"/>
        <v>9657.7800000000007</v>
      </c>
      <c r="Q149" s="2" t="str">
        <f t="shared" si="19"/>
        <v>No</v>
      </c>
      <c r="R149" s="2" t="str">
        <f t="shared" si="20"/>
        <v>No</v>
      </c>
      <c r="S149" s="2" t="str">
        <f t="shared" si="21"/>
        <v>No</v>
      </c>
      <c r="T149" s="2" t="str">
        <f t="shared" si="22"/>
        <v>Normal</v>
      </c>
      <c r="U149" s="2" t="str">
        <f t="shared" si="23"/>
        <v>No</v>
      </c>
      <c r="V149" s="2" t="str">
        <f t="shared" si="24"/>
        <v>No</v>
      </c>
      <c r="W149" s="2" t="str">
        <f t="shared" si="25"/>
        <v>Regular</v>
      </c>
      <c r="X149" s="2" t="str">
        <f t="shared" si="26"/>
        <v>Discounted Bulk</v>
      </c>
    </row>
    <row r="150" spans="1:24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23</v>
      </c>
      <c r="F150" s="2" t="s">
        <v>24</v>
      </c>
      <c r="G150" s="2" t="s">
        <v>31</v>
      </c>
      <c r="H150" s="2" t="s">
        <v>43</v>
      </c>
      <c r="I150" s="2" t="s">
        <v>58</v>
      </c>
      <c r="J150" s="2" t="s">
        <v>63</v>
      </c>
      <c r="K150" s="2" t="s">
        <v>34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18"/>
        <v>23506.400000000001</v>
      </c>
      <c r="Q150" s="2" t="str">
        <f t="shared" si="19"/>
        <v>Yes</v>
      </c>
      <c r="R150" s="2" t="str">
        <f t="shared" si="20"/>
        <v>Yes</v>
      </c>
      <c r="S150" s="2" t="str">
        <f t="shared" si="21"/>
        <v>No</v>
      </c>
      <c r="T150" s="2" t="str">
        <f t="shared" si="22"/>
        <v>Normal</v>
      </c>
      <c r="U150" s="2" t="str">
        <f t="shared" si="23"/>
        <v>No</v>
      </c>
      <c r="V150" s="2" t="str">
        <f t="shared" si="24"/>
        <v>No</v>
      </c>
      <c r="W150" s="2" t="str">
        <f t="shared" si="25"/>
        <v>Regular</v>
      </c>
      <c r="X150" s="2" t="str">
        <f t="shared" si="26"/>
        <v>Non Discounted Bulk</v>
      </c>
    </row>
    <row r="151" spans="1:24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23</v>
      </c>
      <c r="F151" s="2" t="s">
        <v>55</v>
      </c>
      <c r="G151" s="2" t="s">
        <v>25</v>
      </c>
      <c r="H151" s="2" t="s">
        <v>19</v>
      </c>
      <c r="I151" s="2" t="s">
        <v>50</v>
      </c>
      <c r="J151" s="2" t="s">
        <v>52</v>
      </c>
      <c r="K151" s="2" t="s">
        <v>29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18"/>
        <v>5616.12</v>
      </c>
      <c r="Q151" s="2" t="str">
        <f t="shared" si="19"/>
        <v>No</v>
      </c>
      <c r="R151" s="2" t="str">
        <f t="shared" si="20"/>
        <v>No</v>
      </c>
      <c r="S151" s="2" t="str">
        <f t="shared" si="21"/>
        <v>Yes</v>
      </c>
      <c r="T151" s="2" t="str">
        <f t="shared" si="22"/>
        <v>Normal</v>
      </c>
      <c r="U151" s="2" t="str">
        <f t="shared" si="23"/>
        <v>Yes</v>
      </c>
      <c r="V151" s="2" t="str">
        <f t="shared" si="24"/>
        <v>Yes</v>
      </c>
      <c r="W151" s="2" t="str">
        <f t="shared" si="25"/>
        <v>Regular</v>
      </c>
      <c r="X151" s="2" t="str">
        <f t="shared" si="26"/>
        <v>Discounted Bulk</v>
      </c>
    </row>
    <row r="152" spans="1:24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35</v>
      </c>
      <c r="F152" s="2" t="s">
        <v>30</v>
      </c>
      <c r="G152" s="2" t="s">
        <v>31</v>
      </c>
      <c r="H152" s="2" t="s">
        <v>19</v>
      </c>
      <c r="I152" s="2" t="s">
        <v>50</v>
      </c>
      <c r="J152" s="2" t="s">
        <v>64</v>
      </c>
      <c r="K152" s="2" t="s">
        <v>48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18"/>
        <v>7305.5</v>
      </c>
      <c r="Q152" s="2" t="str">
        <f t="shared" si="19"/>
        <v>No</v>
      </c>
      <c r="R152" s="2" t="str">
        <f t="shared" si="20"/>
        <v>No</v>
      </c>
      <c r="S152" s="2" t="str">
        <f t="shared" si="21"/>
        <v>No</v>
      </c>
      <c r="T152" s="2" t="str">
        <f t="shared" si="22"/>
        <v>Normal</v>
      </c>
      <c r="U152" s="2" t="str">
        <f t="shared" si="23"/>
        <v>No</v>
      </c>
      <c r="V152" s="2" t="str">
        <f t="shared" si="24"/>
        <v>No</v>
      </c>
      <c r="W152" s="2" t="str">
        <f t="shared" si="25"/>
        <v>Regular</v>
      </c>
      <c r="X152" s="2" t="str">
        <f t="shared" si="26"/>
        <v>Discounted Bulk</v>
      </c>
    </row>
    <row r="153" spans="1:24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38</v>
      </c>
      <c r="F153" s="2" t="s">
        <v>17</v>
      </c>
      <c r="G153" s="2" t="s">
        <v>25</v>
      </c>
      <c r="H153" s="2" t="s">
        <v>45</v>
      </c>
      <c r="I153" s="2" t="s">
        <v>53</v>
      </c>
      <c r="J153" s="2" t="s">
        <v>57</v>
      </c>
      <c r="K153" s="2" t="s">
        <v>48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18"/>
        <v>3249.11</v>
      </c>
      <c r="Q153" s="2" t="str">
        <f t="shared" si="19"/>
        <v>No</v>
      </c>
      <c r="R153" s="2" t="str">
        <f t="shared" si="20"/>
        <v>No</v>
      </c>
      <c r="S153" s="2" t="str">
        <f t="shared" si="21"/>
        <v>Yes</v>
      </c>
      <c r="T153" s="2" t="str">
        <f t="shared" si="22"/>
        <v>Normal</v>
      </c>
      <c r="U153" s="2" t="str">
        <f t="shared" si="23"/>
        <v>Yes</v>
      </c>
      <c r="V153" s="2" t="str">
        <f t="shared" si="24"/>
        <v>Yes</v>
      </c>
      <c r="W153" s="2" t="str">
        <f t="shared" si="25"/>
        <v>Regular</v>
      </c>
      <c r="X153" s="2" t="str">
        <f t="shared" si="26"/>
        <v>Discounted Bulk</v>
      </c>
    </row>
    <row r="154" spans="1:24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38</v>
      </c>
      <c r="F154" s="2" t="s">
        <v>30</v>
      </c>
      <c r="G154" s="2" t="s">
        <v>31</v>
      </c>
      <c r="H154" s="2" t="s">
        <v>26</v>
      </c>
      <c r="I154" s="2" t="s">
        <v>20</v>
      </c>
      <c r="J154" s="2" t="s">
        <v>67</v>
      </c>
      <c r="K154" s="2" t="s">
        <v>29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18"/>
        <v>2110.2599999999998</v>
      </c>
      <c r="Q154" s="2" t="str">
        <f t="shared" si="19"/>
        <v>No</v>
      </c>
      <c r="R154" s="2" t="str">
        <f t="shared" si="20"/>
        <v>No</v>
      </c>
      <c r="S154" s="2" t="str">
        <f t="shared" si="21"/>
        <v>No</v>
      </c>
      <c r="T154" s="2" t="str">
        <f t="shared" si="22"/>
        <v>Normal</v>
      </c>
      <c r="U154" s="2" t="str">
        <f t="shared" si="23"/>
        <v>No</v>
      </c>
      <c r="V154" s="2" t="str">
        <f t="shared" si="24"/>
        <v>No</v>
      </c>
      <c r="W154" s="2" t="str">
        <f t="shared" si="25"/>
        <v>Regular</v>
      </c>
      <c r="X154" s="2" t="str">
        <f t="shared" si="26"/>
        <v>Discounted Bulk</v>
      </c>
    </row>
    <row r="155" spans="1:24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41</v>
      </c>
      <c r="F155" s="2" t="s">
        <v>24</v>
      </c>
      <c r="G155" s="2" t="s">
        <v>18</v>
      </c>
      <c r="H155" s="2" t="s">
        <v>43</v>
      </c>
      <c r="I155" s="2" t="s">
        <v>20</v>
      </c>
      <c r="J155" s="2" t="s">
        <v>44</v>
      </c>
      <c r="K155" s="2" t="s">
        <v>46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18"/>
        <v>1529.12</v>
      </c>
      <c r="Q155" s="2" t="str">
        <f t="shared" si="19"/>
        <v>No</v>
      </c>
      <c r="R155" s="2" t="str">
        <f t="shared" si="20"/>
        <v>No</v>
      </c>
      <c r="S155" s="2" t="str">
        <f t="shared" si="21"/>
        <v>Yes</v>
      </c>
      <c r="T155" s="2" t="str">
        <f t="shared" si="22"/>
        <v>Normal</v>
      </c>
      <c r="U155" s="2" t="str">
        <f t="shared" si="23"/>
        <v>No</v>
      </c>
      <c r="V155" s="2" t="str">
        <f t="shared" si="24"/>
        <v>No</v>
      </c>
      <c r="W155" s="2" t="str">
        <f t="shared" si="25"/>
        <v>Regular</v>
      </c>
      <c r="X155" s="2" t="str">
        <f t="shared" si="26"/>
        <v>Discounted Bulk</v>
      </c>
    </row>
    <row r="156" spans="1:24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17</v>
      </c>
      <c r="F156" s="2" t="s">
        <v>30</v>
      </c>
      <c r="G156" s="2" t="s">
        <v>31</v>
      </c>
      <c r="H156" s="2" t="s">
        <v>26</v>
      </c>
      <c r="I156" s="2" t="s">
        <v>53</v>
      </c>
      <c r="J156" s="2" t="s">
        <v>57</v>
      </c>
      <c r="K156" s="2" t="s">
        <v>22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18"/>
        <v>5768.6</v>
      </c>
      <c r="Q156" s="2" t="str">
        <f t="shared" si="19"/>
        <v>No</v>
      </c>
      <c r="R156" s="2" t="str">
        <f t="shared" si="20"/>
        <v>No</v>
      </c>
      <c r="S156" s="2" t="str">
        <f t="shared" si="21"/>
        <v>No</v>
      </c>
      <c r="T156" s="2" t="str">
        <f t="shared" si="22"/>
        <v>Normal</v>
      </c>
      <c r="U156" s="2" t="str">
        <f t="shared" si="23"/>
        <v>No</v>
      </c>
      <c r="V156" s="2" t="str">
        <f t="shared" si="24"/>
        <v>No</v>
      </c>
      <c r="W156" s="2" t="str">
        <f t="shared" si="25"/>
        <v>Regular</v>
      </c>
      <c r="X156" s="2" t="str">
        <f t="shared" si="26"/>
        <v>Discounted Bulk</v>
      </c>
    </row>
    <row r="157" spans="1:24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41</v>
      </c>
      <c r="F157" s="2" t="s">
        <v>39</v>
      </c>
      <c r="G157" s="2" t="s">
        <v>25</v>
      </c>
      <c r="H157" s="2" t="s">
        <v>19</v>
      </c>
      <c r="I157" s="2" t="s">
        <v>58</v>
      </c>
      <c r="J157" s="2" t="s">
        <v>60</v>
      </c>
      <c r="K157" s="2" t="s">
        <v>46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18"/>
        <v>2674.2599999999998</v>
      </c>
      <c r="Q157" s="2" t="str">
        <f t="shared" si="19"/>
        <v>No</v>
      </c>
      <c r="R157" s="2" t="str">
        <f t="shared" si="20"/>
        <v>No</v>
      </c>
      <c r="S157" s="2" t="str">
        <f t="shared" si="21"/>
        <v>Yes</v>
      </c>
      <c r="T157" s="2" t="str">
        <f t="shared" si="22"/>
        <v>Normal</v>
      </c>
      <c r="U157" s="2" t="str">
        <f t="shared" si="23"/>
        <v>Yes</v>
      </c>
      <c r="V157" s="2" t="str">
        <f t="shared" si="24"/>
        <v>Yes</v>
      </c>
      <c r="W157" s="2" t="str">
        <f t="shared" si="25"/>
        <v>Regular</v>
      </c>
      <c r="X157" s="2" t="str">
        <f t="shared" si="26"/>
        <v>Discounted Bulk</v>
      </c>
    </row>
    <row r="158" spans="1:24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17</v>
      </c>
      <c r="F158" s="2" t="s">
        <v>24</v>
      </c>
      <c r="G158" s="2" t="s">
        <v>31</v>
      </c>
      <c r="H158" s="2" t="s">
        <v>26</v>
      </c>
      <c r="I158" s="2" t="s">
        <v>20</v>
      </c>
      <c r="J158" s="2" t="s">
        <v>21</v>
      </c>
      <c r="K158" s="2" t="s">
        <v>34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18"/>
        <v>8437.84</v>
      </c>
      <c r="Q158" s="2" t="str">
        <f t="shared" si="19"/>
        <v>No</v>
      </c>
      <c r="R158" s="2" t="str">
        <f t="shared" si="20"/>
        <v>No</v>
      </c>
      <c r="S158" s="2" t="str">
        <f t="shared" si="21"/>
        <v>No</v>
      </c>
      <c r="T158" s="2" t="str">
        <f t="shared" si="22"/>
        <v>Normal</v>
      </c>
      <c r="U158" s="2" t="str">
        <f t="shared" si="23"/>
        <v>No</v>
      </c>
      <c r="V158" s="2" t="str">
        <f t="shared" si="24"/>
        <v>No</v>
      </c>
      <c r="W158" s="2" t="str">
        <f t="shared" si="25"/>
        <v>Regular</v>
      </c>
      <c r="X158" s="2" t="str">
        <f t="shared" si="26"/>
        <v>Discounted Bulk</v>
      </c>
    </row>
    <row r="159" spans="1:24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23</v>
      </c>
      <c r="F159" s="2" t="s">
        <v>42</v>
      </c>
      <c r="G159" s="2" t="s">
        <v>25</v>
      </c>
      <c r="H159" s="2" t="s">
        <v>19</v>
      </c>
      <c r="I159" s="2" t="s">
        <v>50</v>
      </c>
      <c r="J159" s="2" t="s">
        <v>64</v>
      </c>
      <c r="K159" s="2" t="s">
        <v>29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18"/>
        <v>26768.639999999999</v>
      </c>
      <c r="Q159" s="2" t="str">
        <f t="shared" si="19"/>
        <v>Yes</v>
      </c>
      <c r="R159" s="2" t="str">
        <f t="shared" si="20"/>
        <v>Yes</v>
      </c>
      <c r="S159" s="2" t="str">
        <f t="shared" si="21"/>
        <v>Yes</v>
      </c>
      <c r="T159" s="2" t="str">
        <f t="shared" si="22"/>
        <v>Normal</v>
      </c>
      <c r="U159" s="2" t="str">
        <f t="shared" si="23"/>
        <v>Yes</v>
      </c>
      <c r="V159" s="2" t="str">
        <f t="shared" si="24"/>
        <v>Yes</v>
      </c>
      <c r="W159" s="2" t="str">
        <f t="shared" si="25"/>
        <v>Premium</v>
      </c>
      <c r="X159" s="2" t="str">
        <f t="shared" si="26"/>
        <v>Non Discounted Bulk</v>
      </c>
    </row>
    <row r="160" spans="1:24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35</v>
      </c>
      <c r="F160" s="2" t="s">
        <v>17</v>
      </c>
      <c r="G160" s="2" t="s">
        <v>25</v>
      </c>
      <c r="H160" s="2" t="s">
        <v>26</v>
      </c>
      <c r="I160" s="2" t="s">
        <v>50</v>
      </c>
      <c r="J160" s="2" t="s">
        <v>69</v>
      </c>
      <c r="K160" s="2" t="s">
        <v>46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18"/>
        <v>22804.62</v>
      </c>
      <c r="Q160" s="2" t="str">
        <f t="shared" si="19"/>
        <v>Yes</v>
      </c>
      <c r="R160" s="2" t="str">
        <f t="shared" si="20"/>
        <v>No</v>
      </c>
      <c r="S160" s="2" t="str">
        <f t="shared" si="21"/>
        <v>Yes</v>
      </c>
      <c r="T160" s="2" t="str">
        <f t="shared" si="22"/>
        <v>Normal</v>
      </c>
      <c r="U160" s="2" t="str">
        <f t="shared" si="23"/>
        <v>Yes</v>
      </c>
      <c r="V160" s="2" t="str">
        <f t="shared" si="24"/>
        <v>Yes</v>
      </c>
      <c r="W160" s="2" t="str">
        <f t="shared" si="25"/>
        <v>Premium</v>
      </c>
      <c r="X160" s="2" t="str">
        <f t="shared" si="26"/>
        <v>Discounted Bulk</v>
      </c>
    </row>
    <row r="161" spans="1:24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23</v>
      </c>
      <c r="F161" s="2" t="s">
        <v>39</v>
      </c>
      <c r="G161" s="2" t="s">
        <v>18</v>
      </c>
      <c r="H161" s="2" t="s">
        <v>45</v>
      </c>
      <c r="I161" s="2" t="s">
        <v>32</v>
      </c>
      <c r="J161" s="2" t="s">
        <v>49</v>
      </c>
      <c r="K161" s="2" t="s">
        <v>48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18"/>
        <v>5290.88</v>
      </c>
      <c r="Q161" s="2" t="str">
        <f t="shared" si="19"/>
        <v>No</v>
      </c>
      <c r="R161" s="2" t="str">
        <f t="shared" si="20"/>
        <v>No</v>
      </c>
      <c r="S161" s="2" t="str">
        <f t="shared" si="21"/>
        <v>Yes</v>
      </c>
      <c r="T161" s="2" t="str">
        <f t="shared" si="22"/>
        <v>Normal</v>
      </c>
      <c r="U161" s="2" t="str">
        <f t="shared" si="23"/>
        <v>No</v>
      </c>
      <c r="V161" s="2" t="str">
        <f t="shared" si="24"/>
        <v>No</v>
      </c>
      <c r="W161" s="2" t="str">
        <f t="shared" si="25"/>
        <v>Regular</v>
      </c>
      <c r="X161" s="2" t="str">
        <f t="shared" si="26"/>
        <v>Discounted Bulk</v>
      </c>
    </row>
    <row r="162" spans="1:24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47</v>
      </c>
      <c r="F162" s="2" t="s">
        <v>42</v>
      </c>
      <c r="G162" s="2" t="s">
        <v>18</v>
      </c>
      <c r="H162" s="2" t="s">
        <v>36</v>
      </c>
      <c r="I162" s="2" t="s">
        <v>20</v>
      </c>
      <c r="J162" s="2" t="s">
        <v>21</v>
      </c>
      <c r="K162" s="2" t="s">
        <v>34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18"/>
        <v>9347.1200000000008</v>
      </c>
      <c r="Q162" s="2" t="str">
        <f t="shared" si="19"/>
        <v>No</v>
      </c>
      <c r="R162" s="2" t="str">
        <f t="shared" si="20"/>
        <v>Yes</v>
      </c>
      <c r="S162" s="2" t="str">
        <f t="shared" si="21"/>
        <v>Yes</v>
      </c>
      <c r="T162" s="2" t="str">
        <f t="shared" si="22"/>
        <v>Normal</v>
      </c>
      <c r="U162" s="2" t="str">
        <f t="shared" si="23"/>
        <v>No</v>
      </c>
      <c r="V162" s="2" t="str">
        <f t="shared" si="24"/>
        <v>No</v>
      </c>
      <c r="W162" s="2" t="str">
        <f t="shared" si="25"/>
        <v>Regular</v>
      </c>
      <c r="X162" s="2" t="str">
        <f t="shared" si="26"/>
        <v>Non Discounted Bulk</v>
      </c>
    </row>
    <row r="163" spans="1:24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38</v>
      </c>
      <c r="F163" s="2" t="s">
        <v>30</v>
      </c>
      <c r="G163" s="2" t="s">
        <v>25</v>
      </c>
      <c r="H163" s="2" t="s">
        <v>45</v>
      </c>
      <c r="I163" s="2" t="s">
        <v>58</v>
      </c>
      <c r="J163" s="2" t="s">
        <v>59</v>
      </c>
      <c r="K163" s="2" t="s">
        <v>34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18"/>
        <v>9820.7199999999993</v>
      </c>
      <c r="Q163" s="2" t="str">
        <f t="shared" si="19"/>
        <v>No</v>
      </c>
      <c r="R163" s="2" t="str">
        <f t="shared" si="20"/>
        <v>No</v>
      </c>
      <c r="S163" s="2" t="str">
        <f t="shared" si="21"/>
        <v>Yes</v>
      </c>
      <c r="T163" s="2" t="str">
        <f t="shared" si="22"/>
        <v>Normal</v>
      </c>
      <c r="U163" s="2" t="str">
        <f t="shared" si="23"/>
        <v>Yes</v>
      </c>
      <c r="V163" s="2" t="str">
        <f t="shared" si="24"/>
        <v>Yes</v>
      </c>
      <c r="W163" s="2" t="str">
        <f t="shared" si="25"/>
        <v>Regular</v>
      </c>
      <c r="X163" s="2" t="str">
        <f t="shared" si="26"/>
        <v>Non Discounted Bulk</v>
      </c>
    </row>
    <row r="164" spans="1:24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17</v>
      </c>
      <c r="F164" s="2" t="s">
        <v>24</v>
      </c>
      <c r="G164" s="2" t="s">
        <v>31</v>
      </c>
      <c r="H164" s="2" t="s">
        <v>45</v>
      </c>
      <c r="I164" s="2" t="s">
        <v>53</v>
      </c>
      <c r="J164" s="2" t="s">
        <v>54</v>
      </c>
      <c r="K164" s="2" t="s">
        <v>46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18"/>
        <v>1219.22</v>
      </c>
      <c r="Q164" s="2" t="str">
        <f t="shared" si="19"/>
        <v>No</v>
      </c>
      <c r="R164" s="2" t="str">
        <f t="shared" si="20"/>
        <v>No</v>
      </c>
      <c r="S164" s="2" t="str">
        <f t="shared" si="21"/>
        <v>No</v>
      </c>
      <c r="T164" s="2" t="str">
        <f t="shared" si="22"/>
        <v>Special Attention</v>
      </c>
      <c r="U164" s="2" t="str">
        <f t="shared" si="23"/>
        <v>No</v>
      </c>
      <c r="V164" s="2" t="str">
        <f t="shared" si="24"/>
        <v>No</v>
      </c>
      <c r="W164" s="2" t="str">
        <f t="shared" si="25"/>
        <v>Regular</v>
      </c>
      <c r="X164" s="2" t="str">
        <f t="shared" si="26"/>
        <v>Discounted Bulk</v>
      </c>
    </row>
    <row r="165" spans="1:24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41</v>
      </c>
      <c r="F165" s="2" t="s">
        <v>17</v>
      </c>
      <c r="G165" s="2" t="s">
        <v>25</v>
      </c>
      <c r="H165" s="2" t="s">
        <v>36</v>
      </c>
      <c r="I165" s="2" t="s">
        <v>53</v>
      </c>
      <c r="J165" s="2" t="s">
        <v>65</v>
      </c>
      <c r="K165" s="2" t="s">
        <v>46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18"/>
        <v>1153.32</v>
      </c>
      <c r="Q165" s="2" t="str">
        <f t="shared" si="19"/>
        <v>No</v>
      </c>
      <c r="R165" s="2" t="str">
        <f t="shared" si="20"/>
        <v>No</v>
      </c>
      <c r="S165" s="2" t="str">
        <f t="shared" si="21"/>
        <v>Yes</v>
      </c>
      <c r="T165" s="2" t="str">
        <f t="shared" si="22"/>
        <v>Normal</v>
      </c>
      <c r="U165" s="2" t="str">
        <f t="shared" si="23"/>
        <v>Yes</v>
      </c>
      <c r="V165" s="2" t="str">
        <f t="shared" si="24"/>
        <v>Yes</v>
      </c>
      <c r="W165" s="2" t="str">
        <f t="shared" si="25"/>
        <v>Regular</v>
      </c>
      <c r="X165" s="2" t="str">
        <f t="shared" si="26"/>
        <v>Discounted Bulk</v>
      </c>
    </row>
    <row r="166" spans="1:24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35</v>
      </c>
      <c r="F166" s="2" t="s">
        <v>39</v>
      </c>
      <c r="G166" s="2" t="s">
        <v>25</v>
      </c>
      <c r="H166" s="2" t="s">
        <v>36</v>
      </c>
      <c r="I166" s="2" t="s">
        <v>58</v>
      </c>
      <c r="J166" s="2" t="s">
        <v>63</v>
      </c>
      <c r="K166" s="2" t="s">
        <v>29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18"/>
        <v>14874.52</v>
      </c>
      <c r="Q166" s="2" t="str">
        <f t="shared" si="19"/>
        <v>No</v>
      </c>
      <c r="R166" s="2" t="str">
        <f t="shared" si="20"/>
        <v>No</v>
      </c>
      <c r="S166" s="2" t="str">
        <f t="shared" si="21"/>
        <v>Yes</v>
      </c>
      <c r="T166" s="2" t="str">
        <f t="shared" si="22"/>
        <v>Normal</v>
      </c>
      <c r="U166" s="2" t="str">
        <f t="shared" si="23"/>
        <v>Yes</v>
      </c>
      <c r="V166" s="2" t="str">
        <f t="shared" si="24"/>
        <v>Yes</v>
      </c>
      <c r="W166" s="2" t="str">
        <f t="shared" si="25"/>
        <v>Regular</v>
      </c>
      <c r="X166" s="2" t="str">
        <f t="shared" si="26"/>
        <v>Discounted Bulk</v>
      </c>
    </row>
    <row r="167" spans="1:24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17</v>
      </c>
      <c r="F167" s="2" t="s">
        <v>42</v>
      </c>
      <c r="G167" s="2" t="s">
        <v>31</v>
      </c>
      <c r="H167" s="2" t="s">
        <v>43</v>
      </c>
      <c r="I167" s="2" t="s">
        <v>27</v>
      </c>
      <c r="J167" s="2" t="s">
        <v>28</v>
      </c>
      <c r="K167" s="2" t="s">
        <v>22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18"/>
        <v>6809.18</v>
      </c>
      <c r="Q167" s="2" t="str">
        <f t="shared" si="19"/>
        <v>No</v>
      </c>
      <c r="R167" s="2" t="str">
        <f t="shared" si="20"/>
        <v>No</v>
      </c>
      <c r="S167" s="2" t="str">
        <f t="shared" si="21"/>
        <v>No</v>
      </c>
      <c r="T167" s="2" t="str">
        <f t="shared" si="22"/>
        <v>Normal</v>
      </c>
      <c r="U167" s="2" t="str">
        <f t="shared" si="23"/>
        <v>No</v>
      </c>
      <c r="V167" s="2" t="str">
        <f t="shared" si="24"/>
        <v>No</v>
      </c>
      <c r="W167" s="2" t="str">
        <f t="shared" si="25"/>
        <v>Regular</v>
      </c>
      <c r="X167" s="2" t="str">
        <f t="shared" si="26"/>
        <v>Discounted Bulk</v>
      </c>
    </row>
    <row r="168" spans="1:24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41</v>
      </c>
      <c r="F168" s="2" t="s">
        <v>42</v>
      </c>
      <c r="G168" s="2" t="s">
        <v>31</v>
      </c>
      <c r="H168" s="2" t="s">
        <v>43</v>
      </c>
      <c r="I168" s="2" t="s">
        <v>32</v>
      </c>
      <c r="J168" s="2" t="s">
        <v>33</v>
      </c>
      <c r="K168" s="2" t="s">
        <v>46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18"/>
        <v>12369.14</v>
      </c>
      <c r="Q168" s="2" t="str">
        <f t="shared" si="19"/>
        <v>Yes</v>
      </c>
      <c r="R168" s="2" t="str">
        <f t="shared" si="20"/>
        <v>No</v>
      </c>
      <c r="S168" s="2" t="str">
        <f t="shared" si="21"/>
        <v>No</v>
      </c>
      <c r="T168" s="2" t="str">
        <f t="shared" si="22"/>
        <v>Normal</v>
      </c>
      <c r="U168" s="2" t="str">
        <f t="shared" si="23"/>
        <v>No</v>
      </c>
      <c r="V168" s="2" t="str">
        <f t="shared" si="24"/>
        <v>No</v>
      </c>
      <c r="W168" s="2" t="str">
        <f t="shared" si="25"/>
        <v>Regular</v>
      </c>
      <c r="X168" s="2" t="str">
        <f t="shared" si="26"/>
        <v>Discounted Bulk</v>
      </c>
    </row>
    <row r="169" spans="1:24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38</v>
      </c>
      <c r="F169" s="2" t="s">
        <v>17</v>
      </c>
      <c r="G169" s="2" t="s">
        <v>31</v>
      </c>
      <c r="H169" s="2" t="s">
        <v>45</v>
      </c>
      <c r="I169" s="2" t="s">
        <v>53</v>
      </c>
      <c r="J169" s="2" t="s">
        <v>57</v>
      </c>
      <c r="K169" s="2" t="s">
        <v>46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18"/>
        <v>1498.32</v>
      </c>
      <c r="Q169" s="2" t="str">
        <f t="shared" si="19"/>
        <v>No</v>
      </c>
      <c r="R169" s="2" t="str">
        <f t="shared" si="20"/>
        <v>No</v>
      </c>
      <c r="S169" s="2" t="str">
        <f t="shared" si="21"/>
        <v>No</v>
      </c>
      <c r="T169" s="2" t="str">
        <f t="shared" si="22"/>
        <v>Normal</v>
      </c>
      <c r="U169" s="2" t="str">
        <f t="shared" si="23"/>
        <v>No</v>
      </c>
      <c r="V169" s="2" t="str">
        <f t="shared" si="24"/>
        <v>No</v>
      </c>
      <c r="W169" s="2" t="str">
        <f t="shared" si="25"/>
        <v>Regular</v>
      </c>
      <c r="X169" s="2" t="str">
        <f t="shared" si="26"/>
        <v>Non Discounted Bulk</v>
      </c>
    </row>
    <row r="170" spans="1:24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23</v>
      </c>
      <c r="F170" s="2" t="s">
        <v>30</v>
      </c>
      <c r="G170" s="2" t="s">
        <v>31</v>
      </c>
      <c r="H170" s="2" t="s">
        <v>45</v>
      </c>
      <c r="I170" s="2" t="s">
        <v>20</v>
      </c>
      <c r="J170" s="2" t="s">
        <v>56</v>
      </c>
      <c r="K170" s="2" t="s">
        <v>48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18"/>
        <v>17265.650000000001</v>
      </c>
      <c r="Q170" s="2" t="str">
        <f t="shared" si="19"/>
        <v>Yes</v>
      </c>
      <c r="R170" s="2" t="str">
        <f t="shared" si="20"/>
        <v>No</v>
      </c>
      <c r="S170" s="2" t="str">
        <f t="shared" si="21"/>
        <v>No</v>
      </c>
      <c r="T170" s="2" t="str">
        <f t="shared" si="22"/>
        <v>Normal</v>
      </c>
      <c r="U170" s="2" t="str">
        <f t="shared" si="23"/>
        <v>No</v>
      </c>
      <c r="V170" s="2" t="str">
        <f t="shared" si="24"/>
        <v>No</v>
      </c>
      <c r="W170" s="2" t="str">
        <f t="shared" si="25"/>
        <v>Regular</v>
      </c>
      <c r="X170" s="2" t="str">
        <f t="shared" si="26"/>
        <v>Discounted Bulk</v>
      </c>
    </row>
    <row r="171" spans="1:24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38</v>
      </c>
      <c r="F171" s="2" t="s">
        <v>17</v>
      </c>
      <c r="G171" s="2" t="s">
        <v>25</v>
      </c>
      <c r="H171" s="2" t="s">
        <v>19</v>
      </c>
      <c r="I171" s="2" t="s">
        <v>32</v>
      </c>
      <c r="J171" s="2" t="s">
        <v>66</v>
      </c>
      <c r="K171" s="2" t="s">
        <v>34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18"/>
        <v>20754.72</v>
      </c>
      <c r="Q171" s="2" t="str">
        <f t="shared" si="19"/>
        <v>Yes</v>
      </c>
      <c r="R171" s="2" t="str">
        <f t="shared" si="20"/>
        <v>No</v>
      </c>
      <c r="S171" s="2" t="str">
        <f t="shared" si="21"/>
        <v>Yes</v>
      </c>
      <c r="T171" s="2" t="str">
        <f t="shared" si="22"/>
        <v>Normal</v>
      </c>
      <c r="U171" s="2" t="str">
        <f t="shared" si="23"/>
        <v>Yes</v>
      </c>
      <c r="V171" s="2" t="str">
        <f t="shared" si="24"/>
        <v>Yes</v>
      </c>
      <c r="W171" s="2" t="str">
        <f t="shared" si="25"/>
        <v>Regular</v>
      </c>
      <c r="X171" s="2" t="str">
        <f t="shared" si="26"/>
        <v>Discounted Bulk</v>
      </c>
    </row>
    <row r="172" spans="1:24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16</v>
      </c>
      <c r="F172" s="2" t="s">
        <v>42</v>
      </c>
      <c r="G172" s="2" t="s">
        <v>25</v>
      </c>
      <c r="H172" s="2" t="s">
        <v>19</v>
      </c>
      <c r="I172" s="2" t="s">
        <v>20</v>
      </c>
      <c r="J172" s="2" t="s">
        <v>44</v>
      </c>
      <c r="K172" s="2" t="s">
        <v>22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18"/>
        <v>30360.080000000002</v>
      </c>
      <c r="Q172" s="2" t="str">
        <f t="shared" si="19"/>
        <v>Yes</v>
      </c>
      <c r="R172" s="2" t="str">
        <f t="shared" si="20"/>
        <v>No</v>
      </c>
      <c r="S172" s="2" t="str">
        <f t="shared" si="21"/>
        <v>Yes</v>
      </c>
      <c r="T172" s="2" t="str">
        <f t="shared" si="22"/>
        <v>Normal</v>
      </c>
      <c r="U172" s="2" t="str">
        <f t="shared" si="23"/>
        <v>Yes</v>
      </c>
      <c r="V172" s="2" t="str">
        <f t="shared" si="24"/>
        <v>Yes</v>
      </c>
      <c r="W172" s="2" t="str">
        <f t="shared" si="25"/>
        <v>Regular</v>
      </c>
      <c r="X172" s="2" t="str">
        <f t="shared" si="26"/>
        <v>Non Discounted Bulk</v>
      </c>
    </row>
    <row r="173" spans="1:24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47</v>
      </c>
      <c r="F173" s="2" t="s">
        <v>55</v>
      </c>
      <c r="G173" s="2" t="s">
        <v>18</v>
      </c>
      <c r="H173" s="2" t="s">
        <v>43</v>
      </c>
      <c r="I173" s="2" t="s">
        <v>50</v>
      </c>
      <c r="J173" s="2" t="s">
        <v>64</v>
      </c>
      <c r="K173" s="2" t="s">
        <v>48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18"/>
        <v>28432.98</v>
      </c>
      <c r="Q173" s="2" t="str">
        <f t="shared" si="19"/>
        <v>Yes</v>
      </c>
      <c r="R173" s="2" t="str">
        <f t="shared" si="20"/>
        <v>Yes</v>
      </c>
      <c r="S173" s="2" t="str">
        <f t="shared" si="21"/>
        <v>Yes</v>
      </c>
      <c r="T173" s="2" t="str">
        <f t="shared" si="22"/>
        <v>Normal</v>
      </c>
      <c r="U173" s="2" t="str">
        <f t="shared" si="23"/>
        <v>No</v>
      </c>
      <c r="V173" s="2" t="str">
        <f t="shared" si="24"/>
        <v>No</v>
      </c>
      <c r="W173" s="2" t="str">
        <f t="shared" si="25"/>
        <v>Premium</v>
      </c>
      <c r="X173" s="2" t="str">
        <f t="shared" si="26"/>
        <v>Non Discounted Bulk</v>
      </c>
    </row>
    <row r="174" spans="1:24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16</v>
      </c>
      <c r="F174" s="2" t="s">
        <v>39</v>
      </c>
      <c r="G174" s="2" t="s">
        <v>25</v>
      </c>
      <c r="H174" s="2" t="s">
        <v>43</v>
      </c>
      <c r="I174" s="2" t="s">
        <v>32</v>
      </c>
      <c r="J174" s="2" t="s">
        <v>66</v>
      </c>
      <c r="K174" s="2" t="s">
        <v>29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18"/>
        <v>4073.31</v>
      </c>
      <c r="Q174" s="2" t="str">
        <f t="shared" si="19"/>
        <v>No</v>
      </c>
      <c r="R174" s="2" t="str">
        <f t="shared" si="20"/>
        <v>No</v>
      </c>
      <c r="S174" s="2" t="str">
        <f t="shared" si="21"/>
        <v>Yes</v>
      </c>
      <c r="T174" s="2" t="str">
        <f t="shared" si="22"/>
        <v>Normal</v>
      </c>
      <c r="U174" s="2" t="str">
        <f t="shared" si="23"/>
        <v>Yes</v>
      </c>
      <c r="V174" s="2" t="str">
        <f t="shared" si="24"/>
        <v>Yes</v>
      </c>
      <c r="W174" s="2" t="str">
        <f t="shared" si="25"/>
        <v>Regular</v>
      </c>
      <c r="X174" s="2" t="str">
        <f t="shared" si="26"/>
        <v>Discounted Bulk</v>
      </c>
    </row>
    <row r="175" spans="1:24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35</v>
      </c>
      <c r="F175" s="2" t="s">
        <v>17</v>
      </c>
      <c r="G175" s="2" t="s">
        <v>31</v>
      </c>
      <c r="H175" s="2" t="s">
        <v>19</v>
      </c>
      <c r="I175" s="2" t="s">
        <v>53</v>
      </c>
      <c r="J175" s="2" t="s">
        <v>54</v>
      </c>
      <c r="K175" s="2" t="s">
        <v>29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18"/>
        <v>3312.93</v>
      </c>
      <c r="Q175" s="2" t="str">
        <f t="shared" si="19"/>
        <v>No</v>
      </c>
      <c r="R175" s="2" t="str">
        <f t="shared" si="20"/>
        <v>No</v>
      </c>
      <c r="S175" s="2" t="str">
        <f t="shared" si="21"/>
        <v>No</v>
      </c>
      <c r="T175" s="2" t="str">
        <f t="shared" si="22"/>
        <v>Normal</v>
      </c>
      <c r="U175" s="2" t="str">
        <f t="shared" si="23"/>
        <v>No</v>
      </c>
      <c r="V175" s="2" t="str">
        <f t="shared" si="24"/>
        <v>No</v>
      </c>
      <c r="W175" s="2" t="str">
        <f t="shared" si="25"/>
        <v>Regular</v>
      </c>
      <c r="X175" s="2" t="str">
        <f t="shared" si="26"/>
        <v>Discounted Bulk</v>
      </c>
    </row>
    <row r="176" spans="1:24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17</v>
      </c>
      <c r="F176" s="2" t="s">
        <v>42</v>
      </c>
      <c r="G176" s="2" t="s">
        <v>18</v>
      </c>
      <c r="H176" s="2" t="s">
        <v>19</v>
      </c>
      <c r="I176" s="2" t="s">
        <v>32</v>
      </c>
      <c r="J176" s="2" t="s">
        <v>33</v>
      </c>
      <c r="K176" s="2" t="s">
        <v>46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18"/>
        <v>11344.84</v>
      </c>
      <c r="Q176" s="2" t="str">
        <f t="shared" si="19"/>
        <v>No</v>
      </c>
      <c r="R176" s="2" t="str">
        <f t="shared" si="20"/>
        <v>No</v>
      </c>
      <c r="S176" s="2" t="str">
        <f t="shared" si="21"/>
        <v>Yes</v>
      </c>
      <c r="T176" s="2" t="str">
        <f t="shared" si="22"/>
        <v>Normal</v>
      </c>
      <c r="U176" s="2" t="str">
        <f t="shared" si="23"/>
        <v>No</v>
      </c>
      <c r="V176" s="2" t="str">
        <f t="shared" si="24"/>
        <v>No</v>
      </c>
      <c r="W176" s="2" t="str">
        <f t="shared" si="25"/>
        <v>Regular</v>
      </c>
      <c r="X176" s="2" t="str">
        <f t="shared" si="26"/>
        <v>Discounted Bulk</v>
      </c>
    </row>
    <row r="177" spans="1:24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35</v>
      </c>
      <c r="F177" s="2" t="s">
        <v>30</v>
      </c>
      <c r="G177" s="2" t="s">
        <v>31</v>
      </c>
      <c r="H177" s="2" t="s">
        <v>26</v>
      </c>
      <c r="I177" s="2" t="s">
        <v>32</v>
      </c>
      <c r="J177" s="2" t="s">
        <v>40</v>
      </c>
      <c r="K177" s="2" t="s">
        <v>46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18"/>
        <v>7759.15</v>
      </c>
      <c r="Q177" s="2" t="str">
        <f t="shared" si="19"/>
        <v>No</v>
      </c>
      <c r="R177" s="2" t="str">
        <f t="shared" si="20"/>
        <v>No</v>
      </c>
      <c r="S177" s="2" t="str">
        <f t="shared" si="21"/>
        <v>No</v>
      </c>
      <c r="T177" s="2" t="str">
        <f t="shared" si="22"/>
        <v>Normal</v>
      </c>
      <c r="U177" s="2" t="str">
        <f t="shared" si="23"/>
        <v>No</v>
      </c>
      <c r="V177" s="2" t="str">
        <f t="shared" si="24"/>
        <v>No</v>
      </c>
      <c r="W177" s="2" t="str">
        <f t="shared" si="25"/>
        <v>Regular</v>
      </c>
      <c r="X177" s="2" t="str">
        <f t="shared" si="26"/>
        <v>Discounted Bulk</v>
      </c>
    </row>
    <row r="178" spans="1:24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23</v>
      </c>
      <c r="F178" s="2" t="s">
        <v>42</v>
      </c>
      <c r="G178" s="2" t="s">
        <v>25</v>
      </c>
      <c r="H178" s="2" t="s">
        <v>26</v>
      </c>
      <c r="I178" s="2" t="s">
        <v>32</v>
      </c>
      <c r="J178" s="2" t="s">
        <v>33</v>
      </c>
      <c r="K178" s="2" t="s">
        <v>29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18"/>
        <v>2329.9299999999998</v>
      </c>
      <c r="Q178" s="2" t="str">
        <f t="shared" si="19"/>
        <v>No</v>
      </c>
      <c r="R178" s="2" t="str">
        <f t="shared" si="20"/>
        <v>No</v>
      </c>
      <c r="S178" s="2" t="str">
        <f t="shared" si="21"/>
        <v>Yes</v>
      </c>
      <c r="T178" s="2" t="str">
        <f t="shared" si="22"/>
        <v>Normal</v>
      </c>
      <c r="U178" s="2" t="str">
        <f t="shared" si="23"/>
        <v>Yes</v>
      </c>
      <c r="V178" s="2" t="str">
        <f t="shared" si="24"/>
        <v>Yes</v>
      </c>
      <c r="W178" s="2" t="str">
        <f t="shared" si="25"/>
        <v>Regular</v>
      </c>
      <c r="X178" s="2" t="str">
        <f t="shared" si="26"/>
        <v>Discounted Bulk</v>
      </c>
    </row>
    <row r="179" spans="1:24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41</v>
      </c>
      <c r="F179" s="2" t="s">
        <v>30</v>
      </c>
      <c r="G179" s="2" t="s">
        <v>18</v>
      </c>
      <c r="H179" s="2" t="s">
        <v>19</v>
      </c>
      <c r="I179" s="2" t="s">
        <v>27</v>
      </c>
      <c r="J179" s="2" t="s">
        <v>62</v>
      </c>
      <c r="K179" s="2" t="s">
        <v>46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18"/>
        <v>1218.6300000000001</v>
      </c>
      <c r="Q179" s="2" t="str">
        <f t="shared" si="19"/>
        <v>No</v>
      </c>
      <c r="R179" s="2" t="str">
        <f t="shared" si="20"/>
        <v>No</v>
      </c>
      <c r="S179" s="2" t="str">
        <f t="shared" si="21"/>
        <v>Yes</v>
      </c>
      <c r="T179" s="2" t="str">
        <f t="shared" si="22"/>
        <v>Normal</v>
      </c>
      <c r="U179" s="2" t="str">
        <f t="shared" si="23"/>
        <v>No</v>
      </c>
      <c r="V179" s="2" t="str">
        <f t="shared" si="24"/>
        <v>No</v>
      </c>
      <c r="W179" s="2" t="str">
        <f t="shared" si="25"/>
        <v>Regular</v>
      </c>
      <c r="X179" s="2" t="str">
        <f t="shared" si="26"/>
        <v>Discounted Bulk</v>
      </c>
    </row>
    <row r="180" spans="1:24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38</v>
      </c>
      <c r="F180" s="2" t="s">
        <v>17</v>
      </c>
      <c r="G180" s="2" t="s">
        <v>31</v>
      </c>
      <c r="H180" s="2" t="s">
        <v>26</v>
      </c>
      <c r="I180" s="2" t="s">
        <v>32</v>
      </c>
      <c r="J180" s="2" t="s">
        <v>33</v>
      </c>
      <c r="K180" s="2" t="s">
        <v>22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18"/>
        <v>3494.34</v>
      </c>
      <c r="Q180" s="2" t="str">
        <f t="shared" si="19"/>
        <v>No</v>
      </c>
      <c r="R180" s="2" t="str">
        <f t="shared" si="20"/>
        <v>Yes</v>
      </c>
      <c r="S180" s="2" t="str">
        <f t="shared" si="21"/>
        <v>No</v>
      </c>
      <c r="T180" s="2" t="str">
        <f t="shared" si="22"/>
        <v>Normal</v>
      </c>
      <c r="U180" s="2" t="str">
        <f t="shared" si="23"/>
        <v>No</v>
      </c>
      <c r="V180" s="2" t="str">
        <f t="shared" si="24"/>
        <v>No</v>
      </c>
      <c r="W180" s="2" t="str">
        <f t="shared" si="25"/>
        <v>Regular</v>
      </c>
      <c r="X180" s="2" t="str">
        <f t="shared" si="26"/>
        <v>Non Discounted Bulk</v>
      </c>
    </row>
    <row r="181" spans="1:24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16</v>
      </c>
      <c r="F181" s="2" t="s">
        <v>30</v>
      </c>
      <c r="G181" s="2" t="s">
        <v>18</v>
      </c>
      <c r="H181" s="2" t="s">
        <v>36</v>
      </c>
      <c r="I181" s="2" t="s">
        <v>20</v>
      </c>
      <c r="J181" s="2" t="s">
        <v>44</v>
      </c>
      <c r="K181" s="2" t="s">
        <v>46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18"/>
        <v>17689.36</v>
      </c>
      <c r="Q181" s="2" t="str">
        <f t="shared" si="19"/>
        <v>Yes</v>
      </c>
      <c r="R181" s="2" t="str">
        <f t="shared" si="20"/>
        <v>Yes</v>
      </c>
      <c r="S181" s="2" t="str">
        <f t="shared" si="21"/>
        <v>Yes</v>
      </c>
      <c r="T181" s="2" t="str">
        <f t="shared" si="22"/>
        <v>Normal</v>
      </c>
      <c r="U181" s="2" t="str">
        <f t="shared" si="23"/>
        <v>No</v>
      </c>
      <c r="V181" s="2" t="str">
        <f t="shared" si="24"/>
        <v>No</v>
      </c>
      <c r="W181" s="2" t="str">
        <f t="shared" si="25"/>
        <v>Regular</v>
      </c>
      <c r="X181" s="2" t="str">
        <f t="shared" si="26"/>
        <v>Non Discounted Bulk</v>
      </c>
    </row>
    <row r="182" spans="1:24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16</v>
      </c>
      <c r="F182" s="2" t="s">
        <v>24</v>
      </c>
      <c r="G182" s="2" t="s">
        <v>18</v>
      </c>
      <c r="H182" s="2" t="s">
        <v>43</v>
      </c>
      <c r="I182" s="2" t="s">
        <v>50</v>
      </c>
      <c r="J182" s="2" t="s">
        <v>51</v>
      </c>
      <c r="K182" s="2" t="s">
        <v>34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18"/>
        <v>11646.900000000001</v>
      </c>
      <c r="Q182" s="2" t="str">
        <f t="shared" si="19"/>
        <v>No</v>
      </c>
      <c r="R182" s="2" t="str">
        <f t="shared" si="20"/>
        <v>No</v>
      </c>
      <c r="S182" s="2" t="str">
        <f t="shared" si="21"/>
        <v>Yes</v>
      </c>
      <c r="T182" s="2" t="str">
        <f t="shared" si="22"/>
        <v>Normal</v>
      </c>
      <c r="U182" s="2" t="str">
        <f t="shared" si="23"/>
        <v>No</v>
      </c>
      <c r="V182" s="2" t="str">
        <f t="shared" si="24"/>
        <v>No</v>
      </c>
      <c r="W182" s="2" t="str">
        <f t="shared" si="25"/>
        <v>Regular</v>
      </c>
      <c r="X182" s="2" t="str">
        <f t="shared" si="26"/>
        <v>Discounted Bulk</v>
      </c>
    </row>
    <row r="183" spans="1:24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23</v>
      </c>
      <c r="F183" s="2" t="s">
        <v>24</v>
      </c>
      <c r="G183" s="2" t="s">
        <v>25</v>
      </c>
      <c r="H183" s="2" t="s">
        <v>43</v>
      </c>
      <c r="I183" s="2" t="s">
        <v>58</v>
      </c>
      <c r="J183" s="2" t="s">
        <v>60</v>
      </c>
      <c r="K183" s="2" t="s">
        <v>46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18"/>
        <v>12172.36</v>
      </c>
      <c r="Q183" s="2" t="str">
        <f t="shared" si="19"/>
        <v>No</v>
      </c>
      <c r="R183" s="2" t="str">
        <f t="shared" si="20"/>
        <v>No</v>
      </c>
      <c r="S183" s="2" t="str">
        <f t="shared" si="21"/>
        <v>Yes</v>
      </c>
      <c r="T183" s="2" t="str">
        <f t="shared" si="22"/>
        <v>Normal</v>
      </c>
      <c r="U183" s="2" t="str">
        <f t="shared" si="23"/>
        <v>Yes</v>
      </c>
      <c r="V183" s="2" t="str">
        <f t="shared" si="24"/>
        <v>Yes</v>
      </c>
      <c r="W183" s="2" t="str">
        <f t="shared" si="25"/>
        <v>Regular</v>
      </c>
      <c r="X183" s="2" t="str">
        <f t="shared" si="26"/>
        <v>Discounted Bulk</v>
      </c>
    </row>
    <row r="184" spans="1:24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16</v>
      </c>
      <c r="F184" s="2" t="s">
        <v>24</v>
      </c>
      <c r="G184" s="2" t="s">
        <v>31</v>
      </c>
      <c r="H184" s="2" t="s">
        <v>19</v>
      </c>
      <c r="I184" s="2" t="s">
        <v>32</v>
      </c>
      <c r="J184" s="2" t="s">
        <v>40</v>
      </c>
      <c r="K184" s="2" t="s">
        <v>48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18"/>
        <v>4606.4900000000007</v>
      </c>
      <c r="Q184" s="2" t="str">
        <f t="shared" si="19"/>
        <v>No</v>
      </c>
      <c r="R184" s="2" t="str">
        <f t="shared" si="20"/>
        <v>No</v>
      </c>
      <c r="S184" s="2" t="str">
        <f t="shared" si="21"/>
        <v>No</v>
      </c>
      <c r="T184" s="2" t="str">
        <f t="shared" si="22"/>
        <v>Normal</v>
      </c>
      <c r="U184" s="2" t="str">
        <f t="shared" si="23"/>
        <v>No</v>
      </c>
      <c r="V184" s="2" t="str">
        <f t="shared" si="24"/>
        <v>No</v>
      </c>
      <c r="W184" s="2" t="str">
        <f t="shared" si="25"/>
        <v>Regular</v>
      </c>
      <c r="X184" s="2" t="str">
        <f t="shared" si="26"/>
        <v>Discounted Bulk</v>
      </c>
    </row>
    <row r="185" spans="1:24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23</v>
      </c>
      <c r="F185" s="2" t="s">
        <v>55</v>
      </c>
      <c r="G185" s="2" t="s">
        <v>18</v>
      </c>
      <c r="H185" s="2" t="s">
        <v>45</v>
      </c>
      <c r="I185" s="2" t="s">
        <v>53</v>
      </c>
      <c r="J185" s="2" t="s">
        <v>65</v>
      </c>
      <c r="K185" s="2" t="s">
        <v>22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18"/>
        <v>10628.75</v>
      </c>
      <c r="Q185" s="2" t="str">
        <f t="shared" si="19"/>
        <v>No</v>
      </c>
      <c r="R185" s="2" t="str">
        <f t="shared" si="20"/>
        <v>No</v>
      </c>
      <c r="S185" s="2" t="str">
        <f t="shared" si="21"/>
        <v>Yes</v>
      </c>
      <c r="T185" s="2" t="str">
        <f t="shared" si="22"/>
        <v>Normal</v>
      </c>
      <c r="U185" s="2" t="str">
        <f t="shared" si="23"/>
        <v>No</v>
      </c>
      <c r="V185" s="2" t="str">
        <f t="shared" si="24"/>
        <v>No</v>
      </c>
      <c r="W185" s="2" t="str">
        <f t="shared" si="25"/>
        <v>Regular</v>
      </c>
      <c r="X185" s="2" t="str">
        <f t="shared" si="26"/>
        <v>Discounted Bulk</v>
      </c>
    </row>
    <row r="186" spans="1:24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35</v>
      </c>
      <c r="F186" s="2" t="s">
        <v>17</v>
      </c>
      <c r="G186" s="2" t="s">
        <v>18</v>
      </c>
      <c r="H186" s="2" t="s">
        <v>19</v>
      </c>
      <c r="I186" s="2" t="s">
        <v>32</v>
      </c>
      <c r="J186" s="2" t="s">
        <v>40</v>
      </c>
      <c r="K186" s="2" t="s">
        <v>48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18"/>
        <v>6290.34</v>
      </c>
      <c r="Q186" s="2" t="str">
        <f t="shared" si="19"/>
        <v>No</v>
      </c>
      <c r="R186" s="2" t="str">
        <f t="shared" si="20"/>
        <v>No</v>
      </c>
      <c r="S186" s="2" t="str">
        <f t="shared" si="21"/>
        <v>Yes</v>
      </c>
      <c r="T186" s="2" t="str">
        <f t="shared" si="22"/>
        <v>Normal</v>
      </c>
      <c r="U186" s="2" t="str">
        <f t="shared" si="23"/>
        <v>No</v>
      </c>
      <c r="V186" s="2" t="str">
        <f t="shared" si="24"/>
        <v>No</v>
      </c>
      <c r="W186" s="2" t="str">
        <f t="shared" si="25"/>
        <v>Regular</v>
      </c>
      <c r="X186" s="2" t="str">
        <f t="shared" si="26"/>
        <v>Discounted Bulk</v>
      </c>
    </row>
    <row r="187" spans="1:24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38</v>
      </c>
      <c r="F187" s="2" t="s">
        <v>42</v>
      </c>
      <c r="G187" s="2" t="s">
        <v>31</v>
      </c>
      <c r="H187" s="2" t="s">
        <v>26</v>
      </c>
      <c r="I187" s="2" t="s">
        <v>53</v>
      </c>
      <c r="J187" s="2" t="s">
        <v>57</v>
      </c>
      <c r="K187" s="2" t="s">
        <v>48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18"/>
        <v>508.81</v>
      </c>
      <c r="Q187" s="2" t="str">
        <f t="shared" si="19"/>
        <v>No</v>
      </c>
      <c r="R187" s="2" t="str">
        <f t="shared" si="20"/>
        <v>No</v>
      </c>
      <c r="S187" s="2" t="str">
        <f t="shared" si="21"/>
        <v>No</v>
      </c>
      <c r="T187" s="2" t="str">
        <f t="shared" si="22"/>
        <v>Special Attention</v>
      </c>
      <c r="U187" s="2" t="str">
        <f t="shared" si="23"/>
        <v>No</v>
      </c>
      <c r="V187" s="2" t="str">
        <f t="shared" si="24"/>
        <v>No</v>
      </c>
      <c r="W187" s="2" t="str">
        <f t="shared" si="25"/>
        <v>Regular</v>
      </c>
      <c r="X187" s="2" t="str">
        <f t="shared" si="26"/>
        <v>Discounted Bulk</v>
      </c>
    </row>
    <row r="188" spans="1:24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17</v>
      </c>
      <c r="F188" s="2" t="s">
        <v>42</v>
      </c>
      <c r="G188" s="2" t="s">
        <v>18</v>
      </c>
      <c r="H188" s="2" t="s">
        <v>45</v>
      </c>
      <c r="I188" s="2" t="s">
        <v>20</v>
      </c>
      <c r="J188" s="2" t="s">
        <v>44</v>
      </c>
      <c r="K188" s="2" t="s">
        <v>34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18"/>
        <v>1730.41</v>
      </c>
      <c r="Q188" s="2" t="str">
        <f t="shared" si="19"/>
        <v>No</v>
      </c>
      <c r="R188" s="2" t="str">
        <f t="shared" si="20"/>
        <v>No</v>
      </c>
      <c r="S188" s="2" t="str">
        <f t="shared" si="21"/>
        <v>Yes</v>
      </c>
      <c r="T188" s="2" t="str">
        <f t="shared" si="22"/>
        <v>Normal</v>
      </c>
      <c r="U188" s="2" t="str">
        <f t="shared" si="23"/>
        <v>No</v>
      </c>
      <c r="V188" s="2" t="str">
        <f t="shared" si="24"/>
        <v>No</v>
      </c>
      <c r="W188" s="2" t="str">
        <f t="shared" si="25"/>
        <v>Regular</v>
      </c>
      <c r="X188" s="2" t="str">
        <f t="shared" si="26"/>
        <v>Discounted Bulk</v>
      </c>
    </row>
    <row r="189" spans="1:24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41</v>
      </c>
      <c r="F189" s="2" t="s">
        <v>55</v>
      </c>
      <c r="G189" s="2" t="s">
        <v>18</v>
      </c>
      <c r="H189" s="2" t="s">
        <v>26</v>
      </c>
      <c r="I189" s="2" t="s">
        <v>53</v>
      </c>
      <c r="J189" s="2" t="s">
        <v>54</v>
      </c>
      <c r="K189" s="2" t="s">
        <v>22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18"/>
        <v>2336.5500000000002</v>
      </c>
      <c r="Q189" s="2" t="str">
        <f t="shared" si="19"/>
        <v>No</v>
      </c>
      <c r="R189" s="2" t="str">
        <f t="shared" si="20"/>
        <v>No</v>
      </c>
      <c r="S189" s="2" t="str">
        <f t="shared" si="21"/>
        <v>Yes</v>
      </c>
      <c r="T189" s="2" t="str">
        <f t="shared" si="22"/>
        <v>Normal</v>
      </c>
      <c r="U189" s="2" t="str">
        <f t="shared" si="23"/>
        <v>No</v>
      </c>
      <c r="V189" s="2" t="str">
        <f t="shared" si="24"/>
        <v>No</v>
      </c>
      <c r="W189" s="2" t="str">
        <f t="shared" si="25"/>
        <v>Regular</v>
      </c>
      <c r="X189" s="2" t="str">
        <f t="shared" si="26"/>
        <v>Discounted Bulk</v>
      </c>
    </row>
    <row r="190" spans="1:24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17</v>
      </c>
      <c r="F190" s="2" t="s">
        <v>30</v>
      </c>
      <c r="G190" s="2" t="s">
        <v>18</v>
      </c>
      <c r="H190" s="2" t="s">
        <v>36</v>
      </c>
      <c r="I190" s="2" t="s">
        <v>58</v>
      </c>
      <c r="J190" s="2" t="s">
        <v>63</v>
      </c>
      <c r="K190" s="2" t="s">
        <v>22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18"/>
        <v>2007.72</v>
      </c>
      <c r="Q190" s="2" t="str">
        <f t="shared" si="19"/>
        <v>No</v>
      </c>
      <c r="R190" s="2" t="str">
        <f t="shared" si="20"/>
        <v>No</v>
      </c>
      <c r="S190" s="2" t="str">
        <f t="shared" si="21"/>
        <v>Yes</v>
      </c>
      <c r="T190" s="2" t="str">
        <f t="shared" si="22"/>
        <v>Normal</v>
      </c>
      <c r="U190" s="2" t="str">
        <f t="shared" si="23"/>
        <v>No</v>
      </c>
      <c r="V190" s="2" t="str">
        <f t="shared" si="24"/>
        <v>No</v>
      </c>
      <c r="W190" s="2" t="str">
        <f t="shared" si="25"/>
        <v>Regular</v>
      </c>
      <c r="X190" s="2" t="str">
        <f t="shared" si="26"/>
        <v>Discounted Bulk</v>
      </c>
    </row>
    <row r="191" spans="1:24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35</v>
      </c>
      <c r="F191" s="2" t="s">
        <v>55</v>
      </c>
      <c r="G191" s="2" t="s">
        <v>31</v>
      </c>
      <c r="H191" s="2" t="s">
        <v>26</v>
      </c>
      <c r="I191" s="2" t="s">
        <v>50</v>
      </c>
      <c r="J191" s="2" t="s">
        <v>52</v>
      </c>
      <c r="K191" s="2" t="s">
        <v>22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18"/>
        <v>2745.18</v>
      </c>
      <c r="Q191" s="2" t="str">
        <f t="shared" si="19"/>
        <v>No</v>
      </c>
      <c r="R191" s="2" t="str">
        <f t="shared" si="20"/>
        <v>No</v>
      </c>
      <c r="S191" s="2" t="str">
        <f t="shared" si="21"/>
        <v>No</v>
      </c>
      <c r="T191" s="2" t="str">
        <f t="shared" si="22"/>
        <v>Normal</v>
      </c>
      <c r="U191" s="2" t="str">
        <f t="shared" si="23"/>
        <v>No</v>
      </c>
      <c r="V191" s="2" t="str">
        <f t="shared" si="24"/>
        <v>No</v>
      </c>
      <c r="W191" s="2" t="str">
        <f t="shared" si="25"/>
        <v>Regular</v>
      </c>
      <c r="X191" s="2" t="str">
        <f t="shared" si="26"/>
        <v>Discounted Bulk</v>
      </c>
    </row>
    <row r="192" spans="1:24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41</v>
      </c>
      <c r="F192" s="2" t="s">
        <v>30</v>
      </c>
      <c r="G192" s="2" t="s">
        <v>31</v>
      </c>
      <c r="H192" s="2" t="s">
        <v>36</v>
      </c>
      <c r="I192" s="2" t="s">
        <v>53</v>
      </c>
      <c r="J192" s="2" t="s">
        <v>57</v>
      </c>
      <c r="K192" s="2" t="s">
        <v>22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18"/>
        <v>8040.5500000000011</v>
      </c>
      <c r="Q192" s="2" t="str">
        <f t="shared" si="19"/>
        <v>No</v>
      </c>
      <c r="R192" s="2" t="str">
        <f t="shared" si="20"/>
        <v>No</v>
      </c>
      <c r="S192" s="2" t="str">
        <f t="shared" si="21"/>
        <v>No</v>
      </c>
      <c r="T192" s="2" t="str">
        <f t="shared" si="22"/>
        <v>Normal</v>
      </c>
      <c r="U192" s="2" t="str">
        <f t="shared" si="23"/>
        <v>No</v>
      </c>
      <c r="V192" s="2" t="str">
        <f t="shared" si="24"/>
        <v>No</v>
      </c>
      <c r="W192" s="2" t="str">
        <f t="shared" si="25"/>
        <v>Regular</v>
      </c>
      <c r="X192" s="2" t="str">
        <f t="shared" si="26"/>
        <v>Discounted Bulk</v>
      </c>
    </row>
    <row r="193" spans="1:24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16</v>
      </c>
      <c r="F193" s="2" t="s">
        <v>30</v>
      </c>
      <c r="G193" s="2" t="s">
        <v>31</v>
      </c>
      <c r="H193" s="2" t="s">
        <v>36</v>
      </c>
      <c r="I193" s="2" t="s">
        <v>53</v>
      </c>
      <c r="J193" s="2" t="s">
        <v>61</v>
      </c>
      <c r="K193" s="2" t="s">
        <v>22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18"/>
        <v>974.46</v>
      </c>
      <c r="Q193" s="2" t="str">
        <f t="shared" si="19"/>
        <v>No</v>
      </c>
      <c r="R193" s="2" t="str">
        <f t="shared" si="20"/>
        <v>No</v>
      </c>
      <c r="S193" s="2" t="str">
        <f t="shared" si="21"/>
        <v>No</v>
      </c>
      <c r="T193" s="2" t="str">
        <f t="shared" si="22"/>
        <v>Special Attention</v>
      </c>
      <c r="U193" s="2" t="str">
        <f t="shared" si="23"/>
        <v>No</v>
      </c>
      <c r="V193" s="2" t="str">
        <f t="shared" si="24"/>
        <v>No</v>
      </c>
      <c r="W193" s="2" t="str">
        <f t="shared" si="25"/>
        <v>Regular</v>
      </c>
      <c r="X193" s="2" t="str">
        <f t="shared" si="26"/>
        <v>Discounted Bulk</v>
      </c>
    </row>
    <row r="194" spans="1:24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47</v>
      </c>
      <c r="F194" s="2" t="s">
        <v>39</v>
      </c>
      <c r="G194" s="2" t="s">
        <v>31</v>
      </c>
      <c r="H194" s="2" t="s">
        <v>26</v>
      </c>
      <c r="I194" s="2" t="s">
        <v>50</v>
      </c>
      <c r="J194" s="2" t="s">
        <v>52</v>
      </c>
      <c r="K194" s="2" t="s">
        <v>34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18"/>
        <v>1984.72</v>
      </c>
      <c r="Q194" s="2" t="str">
        <f t="shared" si="19"/>
        <v>No</v>
      </c>
      <c r="R194" s="2" t="str">
        <f t="shared" si="20"/>
        <v>No</v>
      </c>
      <c r="S194" s="2" t="str">
        <f t="shared" si="21"/>
        <v>No</v>
      </c>
      <c r="T194" s="2" t="str">
        <f t="shared" si="22"/>
        <v>Normal</v>
      </c>
      <c r="U194" s="2" t="str">
        <f t="shared" si="23"/>
        <v>No</v>
      </c>
      <c r="V194" s="2" t="str">
        <f t="shared" si="24"/>
        <v>No</v>
      </c>
      <c r="W194" s="2" t="str">
        <f t="shared" si="25"/>
        <v>Regular</v>
      </c>
      <c r="X194" s="2" t="str">
        <f t="shared" si="26"/>
        <v>Discounted Bulk</v>
      </c>
    </row>
    <row r="195" spans="1:24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35</v>
      </c>
      <c r="F195" s="2" t="s">
        <v>42</v>
      </c>
      <c r="G195" s="2" t="s">
        <v>25</v>
      </c>
      <c r="H195" s="2" t="s">
        <v>26</v>
      </c>
      <c r="I195" s="2" t="s">
        <v>58</v>
      </c>
      <c r="J195" s="2" t="s">
        <v>60</v>
      </c>
      <c r="K195" s="2" t="s">
        <v>46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27">L195*M195</f>
        <v>1788.02</v>
      </c>
      <c r="Q195" s="2" t="str">
        <f t="shared" ref="Q195:Q258" si="28">IF(AND(L195&gt;=5,O195&gt;=10000),"Yes","No")</f>
        <v>No</v>
      </c>
      <c r="R195" s="2" t="str">
        <f t="shared" ref="R195:R258" si="29">IF(AND(L195&gt;=8,N195&gt;=10),"Yes","No")</f>
        <v>No</v>
      </c>
      <c r="S195" s="2" t="str">
        <f t="shared" ref="S195:S258" si="30">IF(OR(G195="Website",G195="Mobile App"),"Yes","No")</f>
        <v>Yes</v>
      </c>
      <c r="T195" s="2" t="str">
        <f t="shared" ref="T195:T258" si="31">IF(AND(L195&lt;3,O195&lt;=1000),"Special Attention","Normal")</f>
        <v>Normal</v>
      </c>
      <c r="U195" s="2" t="str">
        <f t="shared" ref="U195:U258" si="32">IF(NOT(G195="Website"),"No","Yes")</f>
        <v>Yes</v>
      </c>
      <c r="V195" s="2" t="str">
        <f t="shared" ref="V195:V258" si="33">IF((G195&lt;&gt;"Website"), "No","Yes")</f>
        <v>Yes</v>
      </c>
      <c r="W195" s="2" t="str">
        <f t="shared" ref="W195:W258" si="34">IF(AND(O195&gt;15000,OR(I195="Electronics",I195="Beauty")),"Premium","Regular")</f>
        <v>Regular</v>
      </c>
      <c r="X195" s="2" t="str">
        <f t="shared" ref="X195:X258" si="35">IF(AND(L195&gt;=8,NOT(N195=0)),"Non Discounted Bulk","Discounted Bulk")</f>
        <v>Discounted Bulk</v>
      </c>
    </row>
    <row r="196" spans="1:24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35</v>
      </c>
      <c r="F196" s="2" t="s">
        <v>24</v>
      </c>
      <c r="G196" s="2" t="s">
        <v>18</v>
      </c>
      <c r="H196" s="2" t="s">
        <v>36</v>
      </c>
      <c r="I196" s="2" t="s">
        <v>32</v>
      </c>
      <c r="J196" s="2" t="s">
        <v>66</v>
      </c>
      <c r="K196" s="2" t="s">
        <v>48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27"/>
        <v>2067.8999999999996</v>
      </c>
      <c r="Q196" s="2" t="str">
        <f t="shared" si="28"/>
        <v>No</v>
      </c>
      <c r="R196" s="2" t="str">
        <f t="shared" si="29"/>
        <v>No</v>
      </c>
      <c r="S196" s="2" t="str">
        <f t="shared" si="30"/>
        <v>Yes</v>
      </c>
      <c r="T196" s="2" t="str">
        <f t="shared" si="31"/>
        <v>Normal</v>
      </c>
      <c r="U196" s="2" t="str">
        <f t="shared" si="32"/>
        <v>No</v>
      </c>
      <c r="V196" s="2" t="str">
        <f t="shared" si="33"/>
        <v>No</v>
      </c>
      <c r="W196" s="2" t="str">
        <f t="shared" si="34"/>
        <v>Regular</v>
      </c>
      <c r="X196" s="2" t="str">
        <f t="shared" si="35"/>
        <v>Discounted Bulk</v>
      </c>
    </row>
    <row r="197" spans="1:24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38</v>
      </c>
      <c r="F197" s="2" t="s">
        <v>30</v>
      </c>
      <c r="G197" s="2" t="s">
        <v>31</v>
      </c>
      <c r="H197" s="2" t="s">
        <v>45</v>
      </c>
      <c r="I197" s="2" t="s">
        <v>53</v>
      </c>
      <c r="J197" s="2" t="s">
        <v>54</v>
      </c>
      <c r="K197" s="2" t="s">
        <v>22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27"/>
        <v>20494.88</v>
      </c>
      <c r="Q197" s="2" t="str">
        <f t="shared" si="28"/>
        <v>Yes</v>
      </c>
      <c r="R197" s="2" t="str">
        <f t="shared" si="29"/>
        <v>No</v>
      </c>
      <c r="S197" s="2" t="str">
        <f t="shared" si="30"/>
        <v>No</v>
      </c>
      <c r="T197" s="2" t="str">
        <f t="shared" si="31"/>
        <v>Normal</v>
      </c>
      <c r="U197" s="2" t="str">
        <f t="shared" si="32"/>
        <v>No</v>
      </c>
      <c r="V197" s="2" t="str">
        <f t="shared" si="33"/>
        <v>No</v>
      </c>
      <c r="W197" s="2" t="str">
        <f t="shared" si="34"/>
        <v>Premium</v>
      </c>
      <c r="X197" s="2" t="str">
        <f t="shared" si="35"/>
        <v>Discounted Bulk</v>
      </c>
    </row>
    <row r="198" spans="1:24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17</v>
      </c>
      <c r="F198" s="2" t="s">
        <v>39</v>
      </c>
      <c r="G198" s="2" t="s">
        <v>18</v>
      </c>
      <c r="H198" s="2" t="s">
        <v>36</v>
      </c>
      <c r="I198" s="2" t="s">
        <v>50</v>
      </c>
      <c r="J198" s="2" t="s">
        <v>69</v>
      </c>
      <c r="K198" s="2" t="s">
        <v>46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27"/>
        <v>5024.84</v>
      </c>
      <c r="Q198" s="2" t="str">
        <f t="shared" si="28"/>
        <v>No</v>
      </c>
      <c r="R198" s="2" t="str">
        <f t="shared" si="29"/>
        <v>No</v>
      </c>
      <c r="S198" s="2" t="str">
        <f t="shared" si="30"/>
        <v>Yes</v>
      </c>
      <c r="T198" s="2" t="str">
        <f t="shared" si="31"/>
        <v>Normal</v>
      </c>
      <c r="U198" s="2" t="str">
        <f t="shared" si="32"/>
        <v>No</v>
      </c>
      <c r="V198" s="2" t="str">
        <f t="shared" si="33"/>
        <v>No</v>
      </c>
      <c r="W198" s="2" t="str">
        <f t="shared" si="34"/>
        <v>Regular</v>
      </c>
      <c r="X198" s="2" t="str">
        <f t="shared" si="35"/>
        <v>Discounted Bulk</v>
      </c>
    </row>
    <row r="199" spans="1:24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35</v>
      </c>
      <c r="F199" s="2" t="s">
        <v>42</v>
      </c>
      <c r="G199" s="2" t="s">
        <v>18</v>
      </c>
      <c r="H199" s="2" t="s">
        <v>43</v>
      </c>
      <c r="I199" s="2" t="s">
        <v>20</v>
      </c>
      <c r="J199" s="2" t="s">
        <v>67</v>
      </c>
      <c r="K199" s="2" t="s">
        <v>46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27"/>
        <v>6135.1</v>
      </c>
      <c r="Q199" s="2" t="str">
        <f t="shared" si="28"/>
        <v>No</v>
      </c>
      <c r="R199" s="2" t="str">
        <f t="shared" si="29"/>
        <v>No</v>
      </c>
      <c r="S199" s="2" t="str">
        <f t="shared" si="30"/>
        <v>Yes</v>
      </c>
      <c r="T199" s="2" t="str">
        <f t="shared" si="31"/>
        <v>Normal</v>
      </c>
      <c r="U199" s="2" t="str">
        <f t="shared" si="32"/>
        <v>No</v>
      </c>
      <c r="V199" s="2" t="str">
        <f t="shared" si="33"/>
        <v>No</v>
      </c>
      <c r="W199" s="2" t="str">
        <f t="shared" si="34"/>
        <v>Regular</v>
      </c>
      <c r="X199" s="2" t="str">
        <f t="shared" si="35"/>
        <v>Discounted Bulk</v>
      </c>
    </row>
    <row r="200" spans="1:24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35</v>
      </c>
      <c r="F200" s="2" t="s">
        <v>24</v>
      </c>
      <c r="G200" s="2" t="s">
        <v>25</v>
      </c>
      <c r="H200" s="2" t="s">
        <v>36</v>
      </c>
      <c r="I200" s="2" t="s">
        <v>50</v>
      </c>
      <c r="J200" s="2" t="s">
        <v>52</v>
      </c>
      <c r="K200" s="2" t="s">
        <v>48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27"/>
        <v>5712.76</v>
      </c>
      <c r="Q200" s="2" t="str">
        <f t="shared" si="28"/>
        <v>No</v>
      </c>
      <c r="R200" s="2" t="str">
        <f t="shared" si="29"/>
        <v>No</v>
      </c>
      <c r="S200" s="2" t="str">
        <f t="shared" si="30"/>
        <v>Yes</v>
      </c>
      <c r="T200" s="2" t="str">
        <f t="shared" si="31"/>
        <v>Normal</v>
      </c>
      <c r="U200" s="2" t="str">
        <f t="shared" si="32"/>
        <v>Yes</v>
      </c>
      <c r="V200" s="2" t="str">
        <f t="shared" si="33"/>
        <v>Yes</v>
      </c>
      <c r="W200" s="2" t="str">
        <f t="shared" si="34"/>
        <v>Regular</v>
      </c>
      <c r="X200" s="2" t="str">
        <f t="shared" si="35"/>
        <v>Discounted Bulk</v>
      </c>
    </row>
    <row r="201" spans="1:24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16</v>
      </c>
      <c r="F201" s="2" t="s">
        <v>30</v>
      </c>
      <c r="G201" s="2" t="s">
        <v>31</v>
      </c>
      <c r="H201" s="2" t="s">
        <v>45</v>
      </c>
      <c r="I201" s="2" t="s">
        <v>20</v>
      </c>
      <c r="J201" s="2" t="s">
        <v>67</v>
      </c>
      <c r="K201" s="2" t="s">
        <v>34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27"/>
        <v>8105.3099999999995</v>
      </c>
      <c r="Q201" s="2" t="str">
        <f t="shared" si="28"/>
        <v>No</v>
      </c>
      <c r="R201" s="2" t="str">
        <f t="shared" si="29"/>
        <v>No</v>
      </c>
      <c r="S201" s="2" t="str">
        <f t="shared" si="30"/>
        <v>No</v>
      </c>
      <c r="T201" s="2" t="str">
        <f t="shared" si="31"/>
        <v>Normal</v>
      </c>
      <c r="U201" s="2" t="str">
        <f t="shared" si="32"/>
        <v>No</v>
      </c>
      <c r="V201" s="2" t="str">
        <f t="shared" si="33"/>
        <v>No</v>
      </c>
      <c r="W201" s="2" t="str">
        <f t="shared" si="34"/>
        <v>Regular</v>
      </c>
      <c r="X201" s="2" t="str">
        <f t="shared" si="35"/>
        <v>Discounted Bulk</v>
      </c>
    </row>
    <row r="202" spans="1:24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16</v>
      </c>
      <c r="F202" s="2" t="s">
        <v>30</v>
      </c>
      <c r="G202" s="2" t="s">
        <v>31</v>
      </c>
      <c r="H202" s="2" t="s">
        <v>43</v>
      </c>
      <c r="I202" s="2" t="s">
        <v>58</v>
      </c>
      <c r="J202" s="2" t="s">
        <v>60</v>
      </c>
      <c r="K202" s="2" t="s">
        <v>29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27"/>
        <v>17509.7</v>
      </c>
      <c r="Q202" s="2" t="str">
        <f t="shared" si="28"/>
        <v>Yes</v>
      </c>
      <c r="R202" s="2" t="str">
        <f t="shared" si="29"/>
        <v>No</v>
      </c>
      <c r="S202" s="2" t="str">
        <f t="shared" si="30"/>
        <v>No</v>
      </c>
      <c r="T202" s="2" t="str">
        <f t="shared" si="31"/>
        <v>Normal</v>
      </c>
      <c r="U202" s="2" t="str">
        <f t="shared" si="32"/>
        <v>No</v>
      </c>
      <c r="V202" s="2" t="str">
        <f t="shared" si="33"/>
        <v>No</v>
      </c>
      <c r="W202" s="2" t="str">
        <f t="shared" si="34"/>
        <v>Regular</v>
      </c>
      <c r="X202" s="2" t="str">
        <f t="shared" si="35"/>
        <v>Discounted Bulk</v>
      </c>
    </row>
    <row r="203" spans="1:24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41</v>
      </c>
      <c r="F203" s="2" t="s">
        <v>55</v>
      </c>
      <c r="G203" s="2" t="s">
        <v>18</v>
      </c>
      <c r="H203" s="2" t="s">
        <v>19</v>
      </c>
      <c r="I203" s="2" t="s">
        <v>32</v>
      </c>
      <c r="J203" s="2" t="s">
        <v>66</v>
      </c>
      <c r="K203" s="2" t="s">
        <v>29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27"/>
        <v>27652.32</v>
      </c>
      <c r="Q203" s="2" t="str">
        <f t="shared" si="28"/>
        <v>Yes</v>
      </c>
      <c r="R203" s="2" t="str">
        <f t="shared" si="29"/>
        <v>No</v>
      </c>
      <c r="S203" s="2" t="str">
        <f t="shared" si="30"/>
        <v>Yes</v>
      </c>
      <c r="T203" s="2" t="str">
        <f t="shared" si="31"/>
        <v>Normal</v>
      </c>
      <c r="U203" s="2" t="str">
        <f t="shared" si="32"/>
        <v>No</v>
      </c>
      <c r="V203" s="2" t="str">
        <f t="shared" si="33"/>
        <v>No</v>
      </c>
      <c r="W203" s="2" t="str">
        <f t="shared" si="34"/>
        <v>Regular</v>
      </c>
      <c r="X203" s="2" t="str">
        <f t="shared" si="35"/>
        <v>Discounted Bulk</v>
      </c>
    </row>
    <row r="204" spans="1:24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23</v>
      </c>
      <c r="F204" s="2" t="s">
        <v>55</v>
      </c>
      <c r="G204" s="2" t="s">
        <v>31</v>
      </c>
      <c r="H204" s="2" t="s">
        <v>19</v>
      </c>
      <c r="I204" s="2" t="s">
        <v>50</v>
      </c>
      <c r="J204" s="2" t="s">
        <v>69</v>
      </c>
      <c r="K204" s="2" t="s">
        <v>46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27"/>
        <v>23607.919999999998</v>
      </c>
      <c r="Q204" s="2" t="str">
        <f t="shared" si="28"/>
        <v>Yes</v>
      </c>
      <c r="R204" s="2" t="str">
        <f t="shared" si="29"/>
        <v>Yes</v>
      </c>
      <c r="S204" s="2" t="str">
        <f t="shared" si="30"/>
        <v>No</v>
      </c>
      <c r="T204" s="2" t="str">
        <f t="shared" si="31"/>
        <v>Normal</v>
      </c>
      <c r="U204" s="2" t="str">
        <f t="shared" si="32"/>
        <v>No</v>
      </c>
      <c r="V204" s="2" t="str">
        <f t="shared" si="33"/>
        <v>No</v>
      </c>
      <c r="W204" s="2" t="str">
        <f t="shared" si="34"/>
        <v>Premium</v>
      </c>
      <c r="X204" s="2" t="str">
        <f t="shared" si="35"/>
        <v>Non Discounted Bulk</v>
      </c>
    </row>
    <row r="205" spans="1:24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23</v>
      </c>
      <c r="F205" s="2" t="s">
        <v>42</v>
      </c>
      <c r="G205" s="2" t="s">
        <v>18</v>
      </c>
      <c r="H205" s="2" t="s">
        <v>45</v>
      </c>
      <c r="I205" s="2" t="s">
        <v>27</v>
      </c>
      <c r="J205" s="2" t="s">
        <v>28</v>
      </c>
      <c r="K205" s="2" t="s">
        <v>48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27"/>
        <v>16119.28</v>
      </c>
      <c r="Q205" s="2" t="str">
        <f t="shared" si="28"/>
        <v>Yes</v>
      </c>
      <c r="R205" s="2" t="str">
        <f t="shared" si="29"/>
        <v>No</v>
      </c>
      <c r="S205" s="2" t="str">
        <f t="shared" si="30"/>
        <v>Yes</v>
      </c>
      <c r="T205" s="2" t="str">
        <f t="shared" si="31"/>
        <v>Normal</v>
      </c>
      <c r="U205" s="2" t="str">
        <f t="shared" si="32"/>
        <v>No</v>
      </c>
      <c r="V205" s="2" t="str">
        <f t="shared" si="33"/>
        <v>No</v>
      </c>
      <c r="W205" s="2" t="str">
        <f t="shared" si="34"/>
        <v>Regular</v>
      </c>
      <c r="X205" s="2" t="str">
        <f t="shared" si="35"/>
        <v>Non Discounted Bulk</v>
      </c>
    </row>
    <row r="206" spans="1:24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47</v>
      </c>
      <c r="F206" s="2" t="s">
        <v>24</v>
      </c>
      <c r="G206" s="2" t="s">
        <v>18</v>
      </c>
      <c r="H206" s="2" t="s">
        <v>36</v>
      </c>
      <c r="I206" s="2" t="s">
        <v>53</v>
      </c>
      <c r="J206" s="2" t="s">
        <v>61</v>
      </c>
      <c r="K206" s="2" t="s">
        <v>29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27"/>
        <v>22569.200000000001</v>
      </c>
      <c r="Q206" s="2" t="str">
        <f t="shared" si="28"/>
        <v>Yes</v>
      </c>
      <c r="R206" s="2" t="str">
        <f t="shared" si="29"/>
        <v>Yes</v>
      </c>
      <c r="S206" s="2" t="str">
        <f t="shared" si="30"/>
        <v>Yes</v>
      </c>
      <c r="T206" s="2" t="str">
        <f t="shared" si="31"/>
        <v>Normal</v>
      </c>
      <c r="U206" s="2" t="str">
        <f t="shared" si="32"/>
        <v>No</v>
      </c>
      <c r="V206" s="2" t="str">
        <f t="shared" si="33"/>
        <v>No</v>
      </c>
      <c r="W206" s="2" t="str">
        <f t="shared" si="34"/>
        <v>Premium</v>
      </c>
      <c r="X206" s="2" t="str">
        <f t="shared" si="35"/>
        <v>Non Discounted Bulk</v>
      </c>
    </row>
    <row r="207" spans="1:24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23</v>
      </c>
      <c r="F207" s="2" t="s">
        <v>30</v>
      </c>
      <c r="G207" s="2" t="s">
        <v>25</v>
      </c>
      <c r="H207" s="2" t="s">
        <v>26</v>
      </c>
      <c r="I207" s="2" t="s">
        <v>58</v>
      </c>
      <c r="J207" s="2" t="s">
        <v>60</v>
      </c>
      <c r="K207" s="2" t="s">
        <v>46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27"/>
        <v>18225.12</v>
      </c>
      <c r="Q207" s="2" t="str">
        <f t="shared" si="28"/>
        <v>Yes</v>
      </c>
      <c r="R207" s="2" t="str">
        <f t="shared" si="29"/>
        <v>No</v>
      </c>
      <c r="S207" s="2" t="str">
        <f t="shared" si="30"/>
        <v>Yes</v>
      </c>
      <c r="T207" s="2" t="str">
        <f t="shared" si="31"/>
        <v>Normal</v>
      </c>
      <c r="U207" s="2" t="str">
        <f t="shared" si="32"/>
        <v>Yes</v>
      </c>
      <c r="V207" s="2" t="str">
        <f t="shared" si="33"/>
        <v>Yes</v>
      </c>
      <c r="W207" s="2" t="str">
        <f t="shared" si="34"/>
        <v>Regular</v>
      </c>
      <c r="X207" s="2" t="str">
        <f t="shared" si="35"/>
        <v>Non Discounted Bulk</v>
      </c>
    </row>
    <row r="208" spans="1:24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38</v>
      </c>
      <c r="F208" s="2" t="s">
        <v>42</v>
      </c>
      <c r="G208" s="2" t="s">
        <v>25</v>
      </c>
      <c r="H208" s="2" t="s">
        <v>45</v>
      </c>
      <c r="I208" s="2" t="s">
        <v>50</v>
      </c>
      <c r="J208" s="2" t="s">
        <v>52</v>
      </c>
      <c r="K208" s="2" t="s">
        <v>34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27"/>
        <v>6877.92</v>
      </c>
      <c r="Q208" s="2" t="str">
        <f t="shared" si="28"/>
        <v>No</v>
      </c>
      <c r="R208" s="2" t="str">
        <f t="shared" si="29"/>
        <v>No</v>
      </c>
      <c r="S208" s="2" t="str">
        <f t="shared" si="30"/>
        <v>Yes</v>
      </c>
      <c r="T208" s="2" t="str">
        <f t="shared" si="31"/>
        <v>Normal</v>
      </c>
      <c r="U208" s="2" t="str">
        <f t="shared" si="32"/>
        <v>Yes</v>
      </c>
      <c r="V208" s="2" t="str">
        <f t="shared" si="33"/>
        <v>Yes</v>
      </c>
      <c r="W208" s="2" t="str">
        <f t="shared" si="34"/>
        <v>Regular</v>
      </c>
      <c r="X208" s="2" t="str">
        <f t="shared" si="35"/>
        <v>Discounted Bulk</v>
      </c>
    </row>
    <row r="209" spans="1:24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47</v>
      </c>
      <c r="F209" s="2" t="s">
        <v>42</v>
      </c>
      <c r="G209" s="2" t="s">
        <v>25</v>
      </c>
      <c r="H209" s="2" t="s">
        <v>43</v>
      </c>
      <c r="I209" s="2" t="s">
        <v>53</v>
      </c>
      <c r="J209" s="2" t="s">
        <v>54</v>
      </c>
      <c r="K209" s="2" t="s">
        <v>29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27"/>
        <v>7624.56</v>
      </c>
      <c r="Q209" s="2" t="str">
        <f t="shared" si="28"/>
        <v>No</v>
      </c>
      <c r="R209" s="2" t="str">
        <f t="shared" si="29"/>
        <v>Yes</v>
      </c>
      <c r="S209" s="2" t="str">
        <f t="shared" si="30"/>
        <v>Yes</v>
      </c>
      <c r="T209" s="2" t="str">
        <f t="shared" si="31"/>
        <v>Normal</v>
      </c>
      <c r="U209" s="2" t="str">
        <f t="shared" si="32"/>
        <v>Yes</v>
      </c>
      <c r="V209" s="2" t="str">
        <f t="shared" si="33"/>
        <v>Yes</v>
      </c>
      <c r="W209" s="2" t="str">
        <f t="shared" si="34"/>
        <v>Regular</v>
      </c>
      <c r="X209" s="2" t="str">
        <f t="shared" si="35"/>
        <v>Non Discounted Bulk</v>
      </c>
    </row>
    <row r="210" spans="1:24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41</v>
      </c>
      <c r="F210" s="2" t="s">
        <v>17</v>
      </c>
      <c r="G210" s="2" t="s">
        <v>18</v>
      </c>
      <c r="H210" s="2" t="s">
        <v>43</v>
      </c>
      <c r="I210" s="2" t="s">
        <v>50</v>
      </c>
      <c r="J210" s="2" t="s">
        <v>51</v>
      </c>
      <c r="K210" s="2" t="s">
        <v>46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27"/>
        <v>10328.879999999999</v>
      </c>
      <c r="Q210" s="2" t="str">
        <f t="shared" si="28"/>
        <v>No</v>
      </c>
      <c r="R210" s="2" t="str">
        <f t="shared" si="29"/>
        <v>Yes</v>
      </c>
      <c r="S210" s="2" t="str">
        <f t="shared" si="30"/>
        <v>Yes</v>
      </c>
      <c r="T210" s="2" t="str">
        <f t="shared" si="31"/>
        <v>Normal</v>
      </c>
      <c r="U210" s="2" t="str">
        <f t="shared" si="32"/>
        <v>No</v>
      </c>
      <c r="V210" s="2" t="str">
        <f t="shared" si="33"/>
        <v>No</v>
      </c>
      <c r="W210" s="2" t="str">
        <f t="shared" si="34"/>
        <v>Regular</v>
      </c>
      <c r="X210" s="2" t="str">
        <f t="shared" si="35"/>
        <v>Non Discounted Bulk</v>
      </c>
    </row>
    <row r="211" spans="1:24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16</v>
      </c>
      <c r="F211" s="2" t="s">
        <v>55</v>
      </c>
      <c r="G211" s="2" t="s">
        <v>31</v>
      </c>
      <c r="H211" s="2" t="s">
        <v>19</v>
      </c>
      <c r="I211" s="2" t="s">
        <v>20</v>
      </c>
      <c r="J211" s="2" t="s">
        <v>21</v>
      </c>
      <c r="K211" s="2" t="s">
        <v>46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27"/>
        <v>29252.720000000001</v>
      </c>
      <c r="Q211" s="2" t="str">
        <f t="shared" si="28"/>
        <v>Yes</v>
      </c>
      <c r="R211" s="2" t="str">
        <f t="shared" si="29"/>
        <v>Yes</v>
      </c>
      <c r="S211" s="2" t="str">
        <f t="shared" si="30"/>
        <v>No</v>
      </c>
      <c r="T211" s="2" t="str">
        <f t="shared" si="31"/>
        <v>Normal</v>
      </c>
      <c r="U211" s="2" t="str">
        <f t="shared" si="32"/>
        <v>No</v>
      </c>
      <c r="V211" s="2" t="str">
        <f t="shared" si="33"/>
        <v>No</v>
      </c>
      <c r="W211" s="2" t="str">
        <f t="shared" si="34"/>
        <v>Regular</v>
      </c>
      <c r="X211" s="2" t="str">
        <f t="shared" si="35"/>
        <v>Non Discounted Bulk</v>
      </c>
    </row>
    <row r="212" spans="1:24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23</v>
      </c>
      <c r="F212" s="2" t="s">
        <v>24</v>
      </c>
      <c r="G212" s="2" t="s">
        <v>25</v>
      </c>
      <c r="H212" s="2" t="s">
        <v>43</v>
      </c>
      <c r="I212" s="2" t="s">
        <v>50</v>
      </c>
      <c r="J212" s="2" t="s">
        <v>52</v>
      </c>
      <c r="K212" s="2" t="s">
        <v>22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27"/>
        <v>15802.850000000002</v>
      </c>
      <c r="Q212" s="2" t="str">
        <f t="shared" si="28"/>
        <v>Yes</v>
      </c>
      <c r="R212" s="2" t="str">
        <f t="shared" si="29"/>
        <v>No</v>
      </c>
      <c r="S212" s="2" t="str">
        <f t="shared" si="30"/>
        <v>Yes</v>
      </c>
      <c r="T212" s="2" t="str">
        <f t="shared" si="31"/>
        <v>Normal</v>
      </c>
      <c r="U212" s="2" t="str">
        <f t="shared" si="32"/>
        <v>Yes</v>
      </c>
      <c r="V212" s="2" t="str">
        <f t="shared" si="33"/>
        <v>Yes</v>
      </c>
      <c r="W212" s="2" t="str">
        <f t="shared" si="34"/>
        <v>Regular</v>
      </c>
      <c r="X212" s="2" t="str">
        <f t="shared" si="35"/>
        <v>Discounted Bulk</v>
      </c>
    </row>
    <row r="213" spans="1:24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17</v>
      </c>
      <c r="F213" s="2" t="s">
        <v>30</v>
      </c>
      <c r="G213" s="2" t="s">
        <v>31</v>
      </c>
      <c r="H213" s="2" t="s">
        <v>45</v>
      </c>
      <c r="I213" s="2" t="s">
        <v>27</v>
      </c>
      <c r="J213" s="2" t="s">
        <v>62</v>
      </c>
      <c r="K213" s="2" t="s">
        <v>34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27"/>
        <v>2975.54</v>
      </c>
      <c r="Q213" s="2" t="str">
        <f t="shared" si="28"/>
        <v>No</v>
      </c>
      <c r="R213" s="2" t="str">
        <f t="shared" si="29"/>
        <v>No</v>
      </c>
      <c r="S213" s="2" t="str">
        <f t="shared" si="30"/>
        <v>No</v>
      </c>
      <c r="T213" s="2" t="str">
        <f t="shared" si="31"/>
        <v>Normal</v>
      </c>
      <c r="U213" s="2" t="str">
        <f t="shared" si="32"/>
        <v>No</v>
      </c>
      <c r="V213" s="2" t="str">
        <f t="shared" si="33"/>
        <v>No</v>
      </c>
      <c r="W213" s="2" t="str">
        <f t="shared" si="34"/>
        <v>Regular</v>
      </c>
      <c r="X213" s="2" t="str">
        <f t="shared" si="35"/>
        <v>Discounted Bulk</v>
      </c>
    </row>
    <row r="214" spans="1:24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16</v>
      </c>
      <c r="F214" s="2" t="s">
        <v>42</v>
      </c>
      <c r="G214" s="2" t="s">
        <v>25</v>
      </c>
      <c r="H214" s="2" t="s">
        <v>43</v>
      </c>
      <c r="I214" s="2" t="s">
        <v>50</v>
      </c>
      <c r="J214" s="2" t="s">
        <v>64</v>
      </c>
      <c r="K214" s="2" t="s">
        <v>22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27"/>
        <v>5937</v>
      </c>
      <c r="Q214" s="2" t="str">
        <f t="shared" si="28"/>
        <v>No</v>
      </c>
      <c r="R214" s="2" t="str">
        <f t="shared" si="29"/>
        <v>No</v>
      </c>
      <c r="S214" s="2" t="str">
        <f t="shared" si="30"/>
        <v>Yes</v>
      </c>
      <c r="T214" s="2" t="str">
        <f t="shared" si="31"/>
        <v>Normal</v>
      </c>
      <c r="U214" s="2" t="str">
        <f t="shared" si="32"/>
        <v>Yes</v>
      </c>
      <c r="V214" s="2" t="str">
        <f t="shared" si="33"/>
        <v>Yes</v>
      </c>
      <c r="W214" s="2" t="str">
        <f t="shared" si="34"/>
        <v>Regular</v>
      </c>
      <c r="X214" s="2" t="str">
        <f t="shared" si="35"/>
        <v>Discounted Bulk</v>
      </c>
    </row>
    <row r="215" spans="1:24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38</v>
      </c>
      <c r="F215" s="2" t="s">
        <v>30</v>
      </c>
      <c r="G215" s="2" t="s">
        <v>25</v>
      </c>
      <c r="H215" s="2" t="s">
        <v>45</v>
      </c>
      <c r="I215" s="2" t="s">
        <v>50</v>
      </c>
      <c r="J215" s="2" t="s">
        <v>64</v>
      </c>
      <c r="K215" s="2" t="s">
        <v>48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27"/>
        <v>6878.84</v>
      </c>
      <c r="Q215" s="2" t="str">
        <f t="shared" si="28"/>
        <v>No</v>
      </c>
      <c r="R215" s="2" t="str">
        <f t="shared" si="29"/>
        <v>No</v>
      </c>
      <c r="S215" s="2" t="str">
        <f t="shared" si="30"/>
        <v>Yes</v>
      </c>
      <c r="T215" s="2" t="str">
        <f t="shared" si="31"/>
        <v>Normal</v>
      </c>
      <c r="U215" s="2" t="str">
        <f t="shared" si="32"/>
        <v>Yes</v>
      </c>
      <c r="V215" s="2" t="str">
        <f t="shared" si="33"/>
        <v>Yes</v>
      </c>
      <c r="W215" s="2" t="str">
        <f t="shared" si="34"/>
        <v>Regular</v>
      </c>
      <c r="X215" s="2" t="str">
        <f t="shared" si="35"/>
        <v>Discounted Bulk</v>
      </c>
    </row>
    <row r="216" spans="1:24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16</v>
      </c>
      <c r="F216" s="2" t="s">
        <v>17</v>
      </c>
      <c r="G216" s="2" t="s">
        <v>18</v>
      </c>
      <c r="H216" s="2" t="s">
        <v>26</v>
      </c>
      <c r="I216" s="2" t="s">
        <v>27</v>
      </c>
      <c r="J216" s="2" t="s">
        <v>28</v>
      </c>
      <c r="K216" s="2" t="s">
        <v>22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27"/>
        <v>3167.1499999999996</v>
      </c>
      <c r="Q216" s="2" t="str">
        <f t="shared" si="28"/>
        <v>No</v>
      </c>
      <c r="R216" s="2" t="str">
        <f t="shared" si="29"/>
        <v>No</v>
      </c>
      <c r="S216" s="2" t="str">
        <f t="shared" si="30"/>
        <v>Yes</v>
      </c>
      <c r="T216" s="2" t="str">
        <f t="shared" si="31"/>
        <v>Normal</v>
      </c>
      <c r="U216" s="2" t="str">
        <f t="shared" si="32"/>
        <v>No</v>
      </c>
      <c r="V216" s="2" t="str">
        <f t="shared" si="33"/>
        <v>No</v>
      </c>
      <c r="W216" s="2" t="str">
        <f t="shared" si="34"/>
        <v>Regular</v>
      </c>
      <c r="X216" s="2" t="str">
        <f t="shared" si="35"/>
        <v>Discounted Bulk</v>
      </c>
    </row>
    <row r="217" spans="1:24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38</v>
      </c>
      <c r="F217" s="2" t="s">
        <v>24</v>
      </c>
      <c r="G217" s="2" t="s">
        <v>25</v>
      </c>
      <c r="H217" s="2" t="s">
        <v>19</v>
      </c>
      <c r="I217" s="2" t="s">
        <v>58</v>
      </c>
      <c r="J217" s="2" t="s">
        <v>68</v>
      </c>
      <c r="K217" s="2" t="s">
        <v>22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27"/>
        <v>4856.9400000000005</v>
      </c>
      <c r="Q217" s="2" t="str">
        <f t="shared" si="28"/>
        <v>No</v>
      </c>
      <c r="R217" s="2" t="str">
        <f t="shared" si="29"/>
        <v>No</v>
      </c>
      <c r="S217" s="2" t="str">
        <f t="shared" si="30"/>
        <v>Yes</v>
      </c>
      <c r="T217" s="2" t="str">
        <f t="shared" si="31"/>
        <v>Normal</v>
      </c>
      <c r="U217" s="2" t="str">
        <f t="shared" si="32"/>
        <v>Yes</v>
      </c>
      <c r="V217" s="2" t="str">
        <f t="shared" si="33"/>
        <v>Yes</v>
      </c>
      <c r="W217" s="2" t="str">
        <f t="shared" si="34"/>
        <v>Regular</v>
      </c>
      <c r="X217" s="2" t="str">
        <f t="shared" si="35"/>
        <v>Discounted Bulk</v>
      </c>
    </row>
    <row r="218" spans="1:24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38</v>
      </c>
      <c r="F218" s="2" t="s">
        <v>42</v>
      </c>
      <c r="G218" s="2" t="s">
        <v>25</v>
      </c>
      <c r="H218" s="2" t="s">
        <v>43</v>
      </c>
      <c r="I218" s="2" t="s">
        <v>50</v>
      </c>
      <c r="J218" s="2" t="s">
        <v>51</v>
      </c>
      <c r="K218" s="2" t="s">
        <v>29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27"/>
        <v>13341.28</v>
      </c>
      <c r="Q218" s="2" t="str">
        <f t="shared" si="28"/>
        <v>No</v>
      </c>
      <c r="R218" s="2" t="str">
        <f t="shared" si="29"/>
        <v>No</v>
      </c>
      <c r="S218" s="2" t="str">
        <f t="shared" si="30"/>
        <v>Yes</v>
      </c>
      <c r="T218" s="2" t="str">
        <f t="shared" si="31"/>
        <v>Normal</v>
      </c>
      <c r="U218" s="2" t="str">
        <f t="shared" si="32"/>
        <v>Yes</v>
      </c>
      <c r="V218" s="2" t="str">
        <f t="shared" si="33"/>
        <v>Yes</v>
      </c>
      <c r="W218" s="2" t="str">
        <f t="shared" si="34"/>
        <v>Regular</v>
      </c>
      <c r="X218" s="2" t="str">
        <f t="shared" si="35"/>
        <v>Discounted Bulk</v>
      </c>
    </row>
    <row r="219" spans="1:24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38</v>
      </c>
      <c r="F219" s="2" t="s">
        <v>30</v>
      </c>
      <c r="G219" s="2" t="s">
        <v>18</v>
      </c>
      <c r="H219" s="2" t="s">
        <v>45</v>
      </c>
      <c r="I219" s="2" t="s">
        <v>27</v>
      </c>
      <c r="J219" s="2" t="s">
        <v>70</v>
      </c>
      <c r="K219" s="2" t="s">
        <v>46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27"/>
        <v>4803.26</v>
      </c>
      <c r="Q219" s="2" t="str">
        <f t="shared" si="28"/>
        <v>No</v>
      </c>
      <c r="R219" s="2" t="str">
        <f t="shared" si="29"/>
        <v>No</v>
      </c>
      <c r="S219" s="2" t="str">
        <f t="shared" si="30"/>
        <v>Yes</v>
      </c>
      <c r="T219" s="2" t="str">
        <f t="shared" si="31"/>
        <v>Normal</v>
      </c>
      <c r="U219" s="2" t="str">
        <f t="shared" si="32"/>
        <v>No</v>
      </c>
      <c r="V219" s="2" t="str">
        <f t="shared" si="33"/>
        <v>No</v>
      </c>
      <c r="W219" s="2" t="str">
        <f t="shared" si="34"/>
        <v>Regular</v>
      </c>
      <c r="X219" s="2" t="str">
        <f t="shared" si="35"/>
        <v>Discounted Bulk</v>
      </c>
    </row>
    <row r="220" spans="1:24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41</v>
      </c>
      <c r="F220" s="2" t="s">
        <v>55</v>
      </c>
      <c r="G220" s="2" t="s">
        <v>31</v>
      </c>
      <c r="H220" s="2" t="s">
        <v>36</v>
      </c>
      <c r="I220" s="2" t="s">
        <v>53</v>
      </c>
      <c r="J220" s="2" t="s">
        <v>65</v>
      </c>
      <c r="K220" s="2" t="s">
        <v>34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27"/>
        <v>8697</v>
      </c>
      <c r="Q220" s="2" t="str">
        <f t="shared" si="28"/>
        <v>No</v>
      </c>
      <c r="R220" s="2" t="str">
        <f t="shared" si="29"/>
        <v>No</v>
      </c>
      <c r="S220" s="2" t="str">
        <f t="shared" si="30"/>
        <v>No</v>
      </c>
      <c r="T220" s="2" t="str">
        <f t="shared" si="31"/>
        <v>Normal</v>
      </c>
      <c r="U220" s="2" t="str">
        <f t="shared" si="32"/>
        <v>No</v>
      </c>
      <c r="V220" s="2" t="str">
        <f t="shared" si="33"/>
        <v>No</v>
      </c>
      <c r="W220" s="2" t="str">
        <f t="shared" si="34"/>
        <v>Regular</v>
      </c>
      <c r="X220" s="2" t="str">
        <f t="shared" si="35"/>
        <v>Discounted Bulk</v>
      </c>
    </row>
    <row r="221" spans="1:24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38</v>
      </c>
      <c r="F221" s="2" t="s">
        <v>17</v>
      </c>
      <c r="G221" s="2" t="s">
        <v>25</v>
      </c>
      <c r="H221" s="2" t="s">
        <v>19</v>
      </c>
      <c r="I221" s="2" t="s">
        <v>20</v>
      </c>
      <c r="J221" s="2" t="s">
        <v>56</v>
      </c>
      <c r="K221" s="2" t="s">
        <v>22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27"/>
        <v>25927.84</v>
      </c>
      <c r="Q221" s="2" t="str">
        <f t="shared" si="28"/>
        <v>Yes</v>
      </c>
      <c r="R221" s="2" t="str">
        <f t="shared" si="29"/>
        <v>No</v>
      </c>
      <c r="S221" s="2" t="str">
        <f t="shared" si="30"/>
        <v>Yes</v>
      </c>
      <c r="T221" s="2" t="str">
        <f t="shared" si="31"/>
        <v>Normal</v>
      </c>
      <c r="U221" s="2" t="str">
        <f t="shared" si="32"/>
        <v>Yes</v>
      </c>
      <c r="V221" s="2" t="str">
        <f t="shared" si="33"/>
        <v>Yes</v>
      </c>
      <c r="W221" s="2" t="str">
        <f t="shared" si="34"/>
        <v>Regular</v>
      </c>
      <c r="X221" s="2" t="str">
        <f t="shared" si="35"/>
        <v>Discounted Bulk</v>
      </c>
    </row>
    <row r="222" spans="1:24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38</v>
      </c>
      <c r="F222" s="2" t="s">
        <v>24</v>
      </c>
      <c r="G222" s="2" t="s">
        <v>18</v>
      </c>
      <c r="H222" s="2" t="s">
        <v>26</v>
      </c>
      <c r="I222" s="2" t="s">
        <v>20</v>
      </c>
      <c r="J222" s="2" t="s">
        <v>21</v>
      </c>
      <c r="K222" s="2" t="s">
        <v>34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27"/>
        <v>8792.7999999999993</v>
      </c>
      <c r="Q222" s="2" t="str">
        <f t="shared" si="28"/>
        <v>No</v>
      </c>
      <c r="R222" s="2" t="str">
        <f t="shared" si="29"/>
        <v>Yes</v>
      </c>
      <c r="S222" s="2" t="str">
        <f t="shared" si="30"/>
        <v>Yes</v>
      </c>
      <c r="T222" s="2" t="str">
        <f t="shared" si="31"/>
        <v>Normal</v>
      </c>
      <c r="U222" s="2" t="str">
        <f t="shared" si="32"/>
        <v>No</v>
      </c>
      <c r="V222" s="2" t="str">
        <f t="shared" si="33"/>
        <v>No</v>
      </c>
      <c r="W222" s="2" t="str">
        <f t="shared" si="34"/>
        <v>Regular</v>
      </c>
      <c r="X222" s="2" t="str">
        <f t="shared" si="35"/>
        <v>Non Discounted Bulk</v>
      </c>
    </row>
    <row r="223" spans="1:24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17</v>
      </c>
      <c r="F223" s="2" t="s">
        <v>17</v>
      </c>
      <c r="G223" s="2" t="s">
        <v>25</v>
      </c>
      <c r="H223" s="2" t="s">
        <v>45</v>
      </c>
      <c r="I223" s="2" t="s">
        <v>50</v>
      </c>
      <c r="J223" s="2" t="s">
        <v>52</v>
      </c>
      <c r="K223" s="2" t="s">
        <v>22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27"/>
        <v>27354.11</v>
      </c>
      <c r="Q223" s="2" t="str">
        <f t="shared" si="28"/>
        <v>Yes</v>
      </c>
      <c r="R223" s="2" t="str">
        <f t="shared" si="29"/>
        <v>No</v>
      </c>
      <c r="S223" s="2" t="str">
        <f t="shared" si="30"/>
        <v>Yes</v>
      </c>
      <c r="T223" s="2" t="str">
        <f t="shared" si="31"/>
        <v>Normal</v>
      </c>
      <c r="U223" s="2" t="str">
        <f t="shared" si="32"/>
        <v>Yes</v>
      </c>
      <c r="V223" s="2" t="str">
        <f t="shared" si="33"/>
        <v>Yes</v>
      </c>
      <c r="W223" s="2" t="str">
        <f t="shared" si="34"/>
        <v>Premium</v>
      </c>
      <c r="X223" s="2" t="str">
        <f t="shared" si="35"/>
        <v>Discounted Bulk</v>
      </c>
    </row>
    <row r="224" spans="1:24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47</v>
      </c>
      <c r="F224" s="2" t="s">
        <v>55</v>
      </c>
      <c r="G224" s="2" t="s">
        <v>18</v>
      </c>
      <c r="H224" s="2" t="s">
        <v>26</v>
      </c>
      <c r="I224" s="2" t="s">
        <v>58</v>
      </c>
      <c r="J224" s="2" t="s">
        <v>60</v>
      </c>
      <c r="K224" s="2" t="s">
        <v>48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27"/>
        <v>8865.2999999999993</v>
      </c>
      <c r="Q224" s="2" t="str">
        <f t="shared" si="28"/>
        <v>No</v>
      </c>
      <c r="R224" s="2" t="str">
        <f t="shared" si="29"/>
        <v>No</v>
      </c>
      <c r="S224" s="2" t="str">
        <f t="shared" si="30"/>
        <v>Yes</v>
      </c>
      <c r="T224" s="2" t="str">
        <f t="shared" si="31"/>
        <v>Normal</v>
      </c>
      <c r="U224" s="2" t="str">
        <f t="shared" si="32"/>
        <v>No</v>
      </c>
      <c r="V224" s="2" t="str">
        <f t="shared" si="33"/>
        <v>No</v>
      </c>
      <c r="W224" s="2" t="str">
        <f t="shared" si="34"/>
        <v>Regular</v>
      </c>
      <c r="X224" s="2" t="str">
        <f t="shared" si="35"/>
        <v>Discounted Bulk</v>
      </c>
    </row>
    <row r="225" spans="1:24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35</v>
      </c>
      <c r="F225" s="2" t="s">
        <v>24</v>
      </c>
      <c r="G225" s="2" t="s">
        <v>31</v>
      </c>
      <c r="H225" s="2" t="s">
        <v>26</v>
      </c>
      <c r="I225" s="2" t="s">
        <v>58</v>
      </c>
      <c r="J225" s="2" t="s">
        <v>59</v>
      </c>
      <c r="K225" s="2" t="s">
        <v>22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27"/>
        <v>2897.3</v>
      </c>
      <c r="Q225" s="2" t="str">
        <f t="shared" si="28"/>
        <v>No</v>
      </c>
      <c r="R225" s="2" t="str">
        <f t="shared" si="29"/>
        <v>No</v>
      </c>
      <c r="S225" s="2" t="str">
        <f t="shared" si="30"/>
        <v>No</v>
      </c>
      <c r="T225" s="2" t="str">
        <f t="shared" si="31"/>
        <v>Normal</v>
      </c>
      <c r="U225" s="2" t="str">
        <f t="shared" si="32"/>
        <v>No</v>
      </c>
      <c r="V225" s="2" t="str">
        <f t="shared" si="33"/>
        <v>No</v>
      </c>
      <c r="W225" s="2" t="str">
        <f t="shared" si="34"/>
        <v>Regular</v>
      </c>
      <c r="X225" s="2" t="str">
        <f t="shared" si="35"/>
        <v>Discounted Bulk</v>
      </c>
    </row>
    <row r="226" spans="1:24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47</v>
      </c>
      <c r="F226" s="2" t="s">
        <v>17</v>
      </c>
      <c r="G226" s="2" t="s">
        <v>31</v>
      </c>
      <c r="H226" s="2" t="s">
        <v>43</v>
      </c>
      <c r="I226" s="2" t="s">
        <v>53</v>
      </c>
      <c r="J226" s="2" t="s">
        <v>54</v>
      </c>
      <c r="K226" s="2" t="s">
        <v>29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27"/>
        <v>9456.0199999999986</v>
      </c>
      <c r="Q226" s="2" t="str">
        <f t="shared" si="28"/>
        <v>No</v>
      </c>
      <c r="R226" s="2" t="str">
        <f t="shared" si="29"/>
        <v>No</v>
      </c>
      <c r="S226" s="2" t="str">
        <f t="shared" si="30"/>
        <v>No</v>
      </c>
      <c r="T226" s="2" t="str">
        <f t="shared" si="31"/>
        <v>Normal</v>
      </c>
      <c r="U226" s="2" t="str">
        <f t="shared" si="32"/>
        <v>No</v>
      </c>
      <c r="V226" s="2" t="str">
        <f t="shared" si="33"/>
        <v>No</v>
      </c>
      <c r="W226" s="2" t="str">
        <f t="shared" si="34"/>
        <v>Regular</v>
      </c>
      <c r="X226" s="2" t="str">
        <f t="shared" si="35"/>
        <v>Discounted Bulk</v>
      </c>
    </row>
    <row r="227" spans="1:24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38</v>
      </c>
      <c r="F227" s="2" t="s">
        <v>39</v>
      </c>
      <c r="G227" s="2" t="s">
        <v>18</v>
      </c>
      <c r="H227" s="2" t="s">
        <v>43</v>
      </c>
      <c r="I227" s="2" t="s">
        <v>50</v>
      </c>
      <c r="J227" s="2" t="s">
        <v>64</v>
      </c>
      <c r="K227" s="2" t="s">
        <v>46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27"/>
        <v>3100.65</v>
      </c>
      <c r="Q227" s="2" t="str">
        <f t="shared" si="28"/>
        <v>No</v>
      </c>
      <c r="R227" s="2" t="str">
        <f t="shared" si="29"/>
        <v>No</v>
      </c>
      <c r="S227" s="2" t="str">
        <f t="shared" si="30"/>
        <v>Yes</v>
      </c>
      <c r="T227" s="2" t="str">
        <f t="shared" si="31"/>
        <v>Normal</v>
      </c>
      <c r="U227" s="2" t="str">
        <f t="shared" si="32"/>
        <v>No</v>
      </c>
      <c r="V227" s="2" t="str">
        <f t="shared" si="33"/>
        <v>No</v>
      </c>
      <c r="W227" s="2" t="str">
        <f t="shared" si="34"/>
        <v>Regular</v>
      </c>
      <c r="X227" s="2" t="str">
        <f t="shared" si="35"/>
        <v>Discounted Bulk</v>
      </c>
    </row>
    <row r="228" spans="1:24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17</v>
      </c>
      <c r="F228" s="2" t="s">
        <v>55</v>
      </c>
      <c r="G228" s="2" t="s">
        <v>18</v>
      </c>
      <c r="H228" s="2" t="s">
        <v>45</v>
      </c>
      <c r="I228" s="2" t="s">
        <v>20</v>
      </c>
      <c r="J228" s="2" t="s">
        <v>56</v>
      </c>
      <c r="K228" s="2" t="s">
        <v>48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27"/>
        <v>3467.2799999999997</v>
      </c>
      <c r="Q228" s="2" t="str">
        <f t="shared" si="28"/>
        <v>No</v>
      </c>
      <c r="R228" s="2" t="str">
        <f t="shared" si="29"/>
        <v>No</v>
      </c>
      <c r="S228" s="2" t="str">
        <f t="shared" si="30"/>
        <v>Yes</v>
      </c>
      <c r="T228" s="2" t="str">
        <f t="shared" si="31"/>
        <v>Normal</v>
      </c>
      <c r="U228" s="2" t="str">
        <f t="shared" si="32"/>
        <v>No</v>
      </c>
      <c r="V228" s="2" t="str">
        <f t="shared" si="33"/>
        <v>No</v>
      </c>
      <c r="W228" s="2" t="str">
        <f t="shared" si="34"/>
        <v>Regular</v>
      </c>
      <c r="X228" s="2" t="str">
        <f t="shared" si="35"/>
        <v>Discounted Bulk</v>
      </c>
    </row>
    <row r="229" spans="1:24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16</v>
      </c>
      <c r="F229" s="2" t="s">
        <v>55</v>
      </c>
      <c r="G229" s="2" t="s">
        <v>18</v>
      </c>
      <c r="H229" s="2" t="s">
        <v>36</v>
      </c>
      <c r="I229" s="2" t="s">
        <v>58</v>
      </c>
      <c r="J229" s="2" t="s">
        <v>63</v>
      </c>
      <c r="K229" s="2" t="s">
        <v>22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27"/>
        <v>21161.599999999999</v>
      </c>
      <c r="Q229" s="2" t="str">
        <f t="shared" si="28"/>
        <v>Yes</v>
      </c>
      <c r="R229" s="2" t="str">
        <f t="shared" si="29"/>
        <v>Yes</v>
      </c>
      <c r="S229" s="2" t="str">
        <f t="shared" si="30"/>
        <v>Yes</v>
      </c>
      <c r="T229" s="2" t="str">
        <f t="shared" si="31"/>
        <v>Normal</v>
      </c>
      <c r="U229" s="2" t="str">
        <f t="shared" si="32"/>
        <v>No</v>
      </c>
      <c r="V229" s="2" t="str">
        <f t="shared" si="33"/>
        <v>No</v>
      </c>
      <c r="W229" s="2" t="str">
        <f t="shared" si="34"/>
        <v>Regular</v>
      </c>
      <c r="X229" s="2" t="str">
        <f t="shared" si="35"/>
        <v>Non Discounted Bulk</v>
      </c>
    </row>
    <row r="230" spans="1:24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17</v>
      </c>
      <c r="F230" s="2" t="s">
        <v>55</v>
      </c>
      <c r="G230" s="2" t="s">
        <v>31</v>
      </c>
      <c r="H230" s="2" t="s">
        <v>45</v>
      </c>
      <c r="I230" s="2" t="s">
        <v>50</v>
      </c>
      <c r="J230" s="2" t="s">
        <v>69</v>
      </c>
      <c r="K230" s="2" t="s">
        <v>34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27"/>
        <v>28153.599999999999</v>
      </c>
      <c r="Q230" s="2" t="str">
        <f t="shared" si="28"/>
        <v>Yes</v>
      </c>
      <c r="R230" s="2" t="str">
        <f t="shared" si="29"/>
        <v>No</v>
      </c>
      <c r="S230" s="2" t="str">
        <f t="shared" si="30"/>
        <v>No</v>
      </c>
      <c r="T230" s="2" t="str">
        <f t="shared" si="31"/>
        <v>Normal</v>
      </c>
      <c r="U230" s="2" t="str">
        <f t="shared" si="32"/>
        <v>No</v>
      </c>
      <c r="V230" s="2" t="str">
        <f t="shared" si="33"/>
        <v>No</v>
      </c>
      <c r="W230" s="2" t="str">
        <f t="shared" si="34"/>
        <v>Premium</v>
      </c>
      <c r="X230" s="2" t="str">
        <f t="shared" si="35"/>
        <v>Discounted Bulk</v>
      </c>
    </row>
    <row r="231" spans="1:24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38</v>
      </c>
      <c r="F231" s="2" t="s">
        <v>39</v>
      </c>
      <c r="G231" s="2" t="s">
        <v>25</v>
      </c>
      <c r="H231" s="2" t="s">
        <v>36</v>
      </c>
      <c r="I231" s="2" t="s">
        <v>58</v>
      </c>
      <c r="J231" s="2" t="s">
        <v>63</v>
      </c>
      <c r="K231" s="2" t="s">
        <v>48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27"/>
        <v>9580.5</v>
      </c>
      <c r="Q231" s="2" t="str">
        <f t="shared" si="28"/>
        <v>No</v>
      </c>
      <c r="R231" s="2" t="str">
        <f t="shared" si="29"/>
        <v>No</v>
      </c>
      <c r="S231" s="2" t="str">
        <f t="shared" si="30"/>
        <v>Yes</v>
      </c>
      <c r="T231" s="2" t="str">
        <f t="shared" si="31"/>
        <v>Normal</v>
      </c>
      <c r="U231" s="2" t="str">
        <f t="shared" si="32"/>
        <v>Yes</v>
      </c>
      <c r="V231" s="2" t="str">
        <f t="shared" si="33"/>
        <v>Yes</v>
      </c>
      <c r="W231" s="2" t="str">
        <f t="shared" si="34"/>
        <v>Regular</v>
      </c>
      <c r="X231" s="2" t="str">
        <f t="shared" si="35"/>
        <v>Discounted Bulk</v>
      </c>
    </row>
    <row r="232" spans="1:24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17</v>
      </c>
      <c r="F232" s="2" t="s">
        <v>39</v>
      </c>
      <c r="G232" s="2" t="s">
        <v>31</v>
      </c>
      <c r="H232" s="2" t="s">
        <v>26</v>
      </c>
      <c r="I232" s="2" t="s">
        <v>27</v>
      </c>
      <c r="J232" s="2" t="s">
        <v>37</v>
      </c>
      <c r="K232" s="2" t="s">
        <v>48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27"/>
        <v>4852.82</v>
      </c>
      <c r="Q232" s="2" t="str">
        <f t="shared" si="28"/>
        <v>No</v>
      </c>
      <c r="R232" s="2" t="str">
        <f t="shared" si="29"/>
        <v>No</v>
      </c>
      <c r="S232" s="2" t="str">
        <f t="shared" si="30"/>
        <v>No</v>
      </c>
      <c r="T232" s="2" t="str">
        <f t="shared" si="31"/>
        <v>Normal</v>
      </c>
      <c r="U232" s="2" t="str">
        <f t="shared" si="32"/>
        <v>No</v>
      </c>
      <c r="V232" s="2" t="str">
        <f t="shared" si="33"/>
        <v>No</v>
      </c>
      <c r="W232" s="2" t="str">
        <f t="shared" si="34"/>
        <v>Regular</v>
      </c>
      <c r="X232" s="2" t="str">
        <f t="shared" si="35"/>
        <v>Discounted Bulk</v>
      </c>
    </row>
    <row r="233" spans="1:24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23</v>
      </c>
      <c r="F233" s="2" t="s">
        <v>30</v>
      </c>
      <c r="G233" s="2" t="s">
        <v>18</v>
      </c>
      <c r="H233" s="2" t="s">
        <v>19</v>
      </c>
      <c r="I233" s="2" t="s">
        <v>58</v>
      </c>
      <c r="J233" s="2" t="s">
        <v>60</v>
      </c>
      <c r="K233" s="2" t="s">
        <v>22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27"/>
        <v>2250.4899999999998</v>
      </c>
      <c r="Q233" s="2" t="str">
        <f t="shared" si="28"/>
        <v>No</v>
      </c>
      <c r="R233" s="2" t="str">
        <f t="shared" si="29"/>
        <v>No</v>
      </c>
      <c r="S233" s="2" t="str">
        <f t="shared" si="30"/>
        <v>Yes</v>
      </c>
      <c r="T233" s="2" t="str">
        <f t="shared" si="31"/>
        <v>Normal</v>
      </c>
      <c r="U233" s="2" t="str">
        <f t="shared" si="32"/>
        <v>No</v>
      </c>
      <c r="V233" s="2" t="str">
        <f t="shared" si="33"/>
        <v>No</v>
      </c>
      <c r="W233" s="2" t="str">
        <f t="shared" si="34"/>
        <v>Regular</v>
      </c>
      <c r="X233" s="2" t="str">
        <f t="shared" si="35"/>
        <v>Discounted Bulk</v>
      </c>
    </row>
    <row r="234" spans="1:24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17</v>
      </c>
      <c r="F234" s="2" t="s">
        <v>42</v>
      </c>
      <c r="G234" s="2" t="s">
        <v>18</v>
      </c>
      <c r="H234" s="2" t="s">
        <v>45</v>
      </c>
      <c r="I234" s="2" t="s">
        <v>20</v>
      </c>
      <c r="J234" s="2" t="s">
        <v>56</v>
      </c>
      <c r="K234" s="2" t="s">
        <v>48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27"/>
        <v>556.53</v>
      </c>
      <c r="Q234" s="2" t="str">
        <f t="shared" si="28"/>
        <v>No</v>
      </c>
      <c r="R234" s="2" t="str">
        <f t="shared" si="29"/>
        <v>No</v>
      </c>
      <c r="S234" s="2" t="str">
        <f t="shared" si="30"/>
        <v>Yes</v>
      </c>
      <c r="T234" s="2" t="str">
        <f t="shared" si="31"/>
        <v>Special Attention</v>
      </c>
      <c r="U234" s="2" t="str">
        <f t="shared" si="32"/>
        <v>No</v>
      </c>
      <c r="V234" s="2" t="str">
        <f t="shared" si="33"/>
        <v>No</v>
      </c>
      <c r="W234" s="2" t="str">
        <f t="shared" si="34"/>
        <v>Regular</v>
      </c>
      <c r="X234" s="2" t="str">
        <f t="shared" si="35"/>
        <v>Discounted Bulk</v>
      </c>
    </row>
    <row r="235" spans="1:24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38</v>
      </c>
      <c r="F235" s="2" t="s">
        <v>17</v>
      </c>
      <c r="G235" s="2" t="s">
        <v>31</v>
      </c>
      <c r="H235" s="2" t="s">
        <v>45</v>
      </c>
      <c r="I235" s="2" t="s">
        <v>32</v>
      </c>
      <c r="J235" s="2" t="s">
        <v>49</v>
      </c>
      <c r="K235" s="2" t="s">
        <v>34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27"/>
        <v>2270.66</v>
      </c>
      <c r="Q235" s="2" t="str">
        <f t="shared" si="28"/>
        <v>No</v>
      </c>
      <c r="R235" s="2" t="str">
        <f t="shared" si="29"/>
        <v>No</v>
      </c>
      <c r="S235" s="2" t="str">
        <f t="shared" si="30"/>
        <v>No</v>
      </c>
      <c r="T235" s="2" t="str">
        <f t="shared" si="31"/>
        <v>Normal</v>
      </c>
      <c r="U235" s="2" t="str">
        <f t="shared" si="32"/>
        <v>No</v>
      </c>
      <c r="V235" s="2" t="str">
        <f t="shared" si="33"/>
        <v>No</v>
      </c>
      <c r="W235" s="2" t="str">
        <f t="shared" si="34"/>
        <v>Regular</v>
      </c>
      <c r="X235" s="2" t="str">
        <f t="shared" si="35"/>
        <v>Discounted Bulk</v>
      </c>
    </row>
    <row r="236" spans="1:24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41</v>
      </c>
      <c r="F236" s="2" t="s">
        <v>30</v>
      </c>
      <c r="G236" s="2" t="s">
        <v>18</v>
      </c>
      <c r="H236" s="2" t="s">
        <v>36</v>
      </c>
      <c r="I236" s="2" t="s">
        <v>53</v>
      </c>
      <c r="J236" s="2" t="s">
        <v>61</v>
      </c>
      <c r="K236" s="2" t="s">
        <v>48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27"/>
        <v>24093.81</v>
      </c>
      <c r="Q236" s="2" t="str">
        <f t="shared" si="28"/>
        <v>Yes</v>
      </c>
      <c r="R236" s="2" t="str">
        <f t="shared" si="29"/>
        <v>Yes</v>
      </c>
      <c r="S236" s="2" t="str">
        <f t="shared" si="30"/>
        <v>Yes</v>
      </c>
      <c r="T236" s="2" t="str">
        <f t="shared" si="31"/>
        <v>Normal</v>
      </c>
      <c r="U236" s="2" t="str">
        <f t="shared" si="32"/>
        <v>No</v>
      </c>
      <c r="V236" s="2" t="str">
        <f t="shared" si="33"/>
        <v>No</v>
      </c>
      <c r="W236" s="2" t="str">
        <f t="shared" si="34"/>
        <v>Premium</v>
      </c>
      <c r="X236" s="2" t="str">
        <f t="shared" si="35"/>
        <v>Non Discounted Bulk</v>
      </c>
    </row>
    <row r="237" spans="1:24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23</v>
      </c>
      <c r="F237" s="2" t="s">
        <v>17</v>
      </c>
      <c r="G237" s="2" t="s">
        <v>31</v>
      </c>
      <c r="H237" s="2" t="s">
        <v>26</v>
      </c>
      <c r="I237" s="2" t="s">
        <v>53</v>
      </c>
      <c r="J237" s="2" t="s">
        <v>61</v>
      </c>
      <c r="K237" s="2" t="s">
        <v>34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27"/>
        <v>15472.380000000001</v>
      </c>
      <c r="Q237" s="2" t="str">
        <f t="shared" si="28"/>
        <v>Yes</v>
      </c>
      <c r="R237" s="2" t="str">
        <f t="shared" si="29"/>
        <v>No</v>
      </c>
      <c r="S237" s="2" t="str">
        <f t="shared" si="30"/>
        <v>No</v>
      </c>
      <c r="T237" s="2" t="str">
        <f t="shared" si="31"/>
        <v>Normal</v>
      </c>
      <c r="U237" s="2" t="str">
        <f t="shared" si="32"/>
        <v>No</v>
      </c>
      <c r="V237" s="2" t="str">
        <f t="shared" si="33"/>
        <v>No</v>
      </c>
      <c r="W237" s="2" t="str">
        <f t="shared" si="34"/>
        <v>Regular</v>
      </c>
      <c r="X237" s="2" t="str">
        <f t="shared" si="35"/>
        <v>Discounted Bulk</v>
      </c>
    </row>
    <row r="238" spans="1:24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17</v>
      </c>
      <c r="F238" s="2" t="s">
        <v>42</v>
      </c>
      <c r="G238" s="2" t="s">
        <v>18</v>
      </c>
      <c r="H238" s="2" t="s">
        <v>26</v>
      </c>
      <c r="I238" s="2" t="s">
        <v>20</v>
      </c>
      <c r="J238" s="2" t="s">
        <v>21</v>
      </c>
      <c r="K238" s="2" t="s">
        <v>22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27"/>
        <v>2328.9500000000003</v>
      </c>
      <c r="Q238" s="2" t="str">
        <f t="shared" si="28"/>
        <v>No</v>
      </c>
      <c r="R238" s="2" t="str">
        <f t="shared" si="29"/>
        <v>No</v>
      </c>
      <c r="S238" s="2" t="str">
        <f t="shared" si="30"/>
        <v>Yes</v>
      </c>
      <c r="T238" s="2" t="str">
        <f t="shared" si="31"/>
        <v>Normal</v>
      </c>
      <c r="U238" s="2" t="str">
        <f t="shared" si="32"/>
        <v>No</v>
      </c>
      <c r="V238" s="2" t="str">
        <f t="shared" si="33"/>
        <v>No</v>
      </c>
      <c r="W238" s="2" t="str">
        <f t="shared" si="34"/>
        <v>Regular</v>
      </c>
      <c r="X238" s="2" t="str">
        <f t="shared" si="35"/>
        <v>Discounted Bulk</v>
      </c>
    </row>
    <row r="239" spans="1:24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35</v>
      </c>
      <c r="F239" s="2" t="s">
        <v>39</v>
      </c>
      <c r="G239" s="2" t="s">
        <v>25</v>
      </c>
      <c r="H239" s="2" t="s">
        <v>36</v>
      </c>
      <c r="I239" s="2" t="s">
        <v>58</v>
      </c>
      <c r="J239" s="2" t="s">
        <v>63</v>
      </c>
      <c r="K239" s="2" t="s">
        <v>46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27"/>
        <v>2276.16</v>
      </c>
      <c r="Q239" s="2" t="str">
        <f t="shared" si="28"/>
        <v>No</v>
      </c>
      <c r="R239" s="2" t="str">
        <f t="shared" si="29"/>
        <v>Yes</v>
      </c>
      <c r="S239" s="2" t="str">
        <f t="shared" si="30"/>
        <v>Yes</v>
      </c>
      <c r="T239" s="2" t="str">
        <f t="shared" si="31"/>
        <v>Normal</v>
      </c>
      <c r="U239" s="2" t="str">
        <f t="shared" si="32"/>
        <v>Yes</v>
      </c>
      <c r="V239" s="2" t="str">
        <f t="shared" si="33"/>
        <v>Yes</v>
      </c>
      <c r="W239" s="2" t="str">
        <f t="shared" si="34"/>
        <v>Regular</v>
      </c>
      <c r="X239" s="2" t="str">
        <f t="shared" si="35"/>
        <v>Non Discounted Bulk</v>
      </c>
    </row>
    <row r="240" spans="1:24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35</v>
      </c>
      <c r="F240" s="2" t="s">
        <v>42</v>
      </c>
      <c r="G240" s="2" t="s">
        <v>25</v>
      </c>
      <c r="H240" s="2" t="s">
        <v>26</v>
      </c>
      <c r="I240" s="2" t="s">
        <v>50</v>
      </c>
      <c r="J240" s="2" t="s">
        <v>64</v>
      </c>
      <c r="K240" s="2" t="s">
        <v>48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27"/>
        <v>7921.12</v>
      </c>
      <c r="Q240" s="2" t="str">
        <f t="shared" si="28"/>
        <v>No</v>
      </c>
      <c r="R240" s="2" t="str">
        <f t="shared" si="29"/>
        <v>No</v>
      </c>
      <c r="S240" s="2" t="str">
        <f t="shared" si="30"/>
        <v>Yes</v>
      </c>
      <c r="T240" s="2" t="str">
        <f t="shared" si="31"/>
        <v>Normal</v>
      </c>
      <c r="U240" s="2" t="str">
        <f t="shared" si="32"/>
        <v>Yes</v>
      </c>
      <c r="V240" s="2" t="str">
        <f t="shared" si="33"/>
        <v>Yes</v>
      </c>
      <c r="W240" s="2" t="str">
        <f t="shared" si="34"/>
        <v>Regular</v>
      </c>
      <c r="X240" s="2" t="str">
        <f t="shared" si="35"/>
        <v>Discounted Bulk</v>
      </c>
    </row>
    <row r="241" spans="1:24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17</v>
      </c>
      <c r="F241" s="2" t="s">
        <v>39</v>
      </c>
      <c r="G241" s="2" t="s">
        <v>18</v>
      </c>
      <c r="H241" s="2" t="s">
        <v>43</v>
      </c>
      <c r="I241" s="2" t="s">
        <v>58</v>
      </c>
      <c r="J241" s="2" t="s">
        <v>68</v>
      </c>
      <c r="K241" s="2" t="s">
        <v>46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27"/>
        <v>2390.2199999999998</v>
      </c>
      <c r="Q241" s="2" t="str">
        <f t="shared" si="28"/>
        <v>No</v>
      </c>
      <c r="R241" s="2" t="str">
        <f t="shared" si="29"/>
        <v>Yes</v>
      </c>
      <c r="S241" s="2" t="str">
        <f t="shared" si="30"/>
        <v>Yes</v>
      </c>
      <c r="T241" s="2" t="str">
        <f t="shared" si="31"/>
        <v>Normal</v>
      </c>
      <c r="U241" s="2" t="str">
        <f t="shared" si="32"/>
        <v>No</v>
      </c>
      <c r="V241" s="2" t="str">
        <f t="shared" si="33"/>
        <v>No</v>
      </c>
      <c r="W241" s="2" t="str">
        <f t="shared" si="34"/>
        <v>Regular</v>
      </c>
      <c r="X241" s="2" t="str">
        <f t="shared" si="35"/>
        <v>Non Discounted Bulk</v>
      </c>
    </row>
    <row r="242" spans="1:24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41</v>
      </c>
      <c r="F242" s="2" t="s">
        <v>42</v>
      </c>
      <c r="G242" s="2" t="s">
        <v>31</v>
      </c>
      <c r="H242" s="2" t="s">
        <v>19</v>
      </c>
      <c r="I242" s="2" t="s">
        <v>20</v>
      </c>
      <c r="J242" s="2" t="s">
        <v>67</v>
      </c>
      <c r="K242" s="2" t="s">
        <v>34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27"/>
        <v>11168.58</v>
      </c>
      <c r="Q242" s="2" t="str">
        <f t="shared" si="28"/>
        <v>Yes</v>
      </c>
      <c r="R242" s="2" t="str">
        <f t="shared" si="29"/>
        <v>No</v>
      </c>
      <c r="S242" s="2" t="str">
        <f t="shared" si="30"/>
        <v>No</v>
      </c>
      <c r="T242" s="2" t="str">
        <f t="shared" si="31"/>
        <v>Normal</v>
      </c>
      <c r="U242" s="2" t="str">
        <f t="shared" si="32"/>
        <v>No</v>
      </c>
      <c r="V242" s="2" t="str">
        <f t="shared" si="33"/>
        <v>No</v>
      </c>
      <c r="W242" s="2" t="str">
        <f t="shared" si="34"/>
        <v>Regular</v>
      </c>
      <c r="X242" s="2" t="str">
        <f t="shared" si="35"/>
        <v>Discounted Bulk</v>
      </c>
    </row>
    <row r="243" spans="1:24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16</v>
      </c>
      <c r="F243" s="2" t="s">
        <v>30</v>
      </c>
      <c r="G243" s="2" t="s">
        <v>25</v>
      </c>
      <c r="H243" s="2" t="s">
        <v>45</v>
      </c>
      <c r="I243" s="2" t="s">
        <v>53</v>
      </c>
      <c r="J243" s="2" t="s">
        <v>65</v>
      </c>
      <c r="K243" s="2" t="s">
        <v>48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27"/>
        <v>18835.02</v>
      </c>
      <c r="Q243" s="2" t="str">
        <f t="shared" si="28"/>
        <v>Yes</v>
      </c>
      <c r="R243" s="2" t="str">
        <f t="shared" si="29"/>
        <v>Yes</v>
      </c>
      <c r="S243" s="2" t="str">
        <f t="shared" si="30"/>
        <v>Yes</v>
      </c>
      <c r="T243" s="2" t="str">
        <f t="shared" si="31"/>
        <v>Normal</v>
      </c>
      <c r="U243" s="2" t="str">
        <f t="shared" si="32"/>
        <v>Yes</v>
      </c>
      <c r="V243" s="2" t="str">
        <f t="shared" si="33"/>
        <v>Yes</v>
      </c>
      <c r="W243" s="2" t="str">
        <f t="shared" si="34"/>
        <v>Premium</v>
      </c>
      <c r="X243" s="2" t="str">
        <f t="shared" si="35"/>
        <v>Non Discounted Bulk</v>
      </c>
    </row>
    <row r="244" spans="1:24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38</v>
      </c>
      <c r="F244" s="2" t="s">
        <v>24</v>
      </c>
      <c r="G244" s="2" t="s">
        <v>31</v>
      </c>
      <c r="H244" s="2" t="s">
        <v>19</v>
      </c>
      <c r="I244" s="2" t="s">
        <v>58</v>
      </c>
      <c r="J244" s="2" t="s">
        <v>60</v>
      </c>
      <c r="K244" s="2" t="s">
        <v>29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27"/>
        <v>1203.06</v>
      </c>
      <c r="Q244" s="2" t="str">
        <f t="shared" si="28"/>
        <v>No</v>
      </c>
      <c r="R244" s="2" t="str">
        <f t="shared" si="29"/>
        <v>No</v>
      </c>
      <c r="S244" s="2" t="str">
        <f t="shared" si="30"/>
        <v>No</v>
      </c>
      <c r="T244" s="2" t="str">
        <f t="shared" si="31"/>
        <v>Special Attention</v>
      </c>
      <c r="U244" s="2" t="str">
        <f t="shared" si="32"/>
        <v>No</v>
      </c>
      <c r="V244" s="2" t="str">
        <f t="shared" si="33"/>
        <v>No</v>
      </c>
      <c r="W244" s="2" t="str">
        <f t="shared" si="34"/>
        <v>Regular</v>
      </c>
      <c r="X244" s="2" t="str">
        <f t="shared" si="35"/>
        <v>Discounted Bulk</v>
      </c>
    </row>
    <row r="245" spans="1:24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35</v>
      </c>
      <c r="F245" s="2" t="s">
        <v>30</v>
      </c>
      <c r="G245" s="2" t="s">
        <v>18</v>
      </c>
      <c r="H245" s="2" t="s">
        <v>45</v>
      </c>
      <c r="I245" s="2" t="s">
        <v>53</v>
      </c>
      <c r="J245" s="2" t="s">
        <v>54</v>
      </c>
      <c r="K245" s="2" t="s">
        <v>46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27"/>
        <v>2402.67</v>
      </c>
      <c r="Q245" s="2" t="str">
        <f t="shared" si="28"/>
        <v>No</v>
      </c>
      <c r="R245" s="2" t="str">
        <f t="shared" si="29"/>
        <v>No</v>
      </c>
      <c r="S245" s="2" t="str">
        <f t="shared" si="30"/>
        <v>Yes</v>
      </c>
      <c r="T245" s="2" t="str">
        <f t="shared" si="31"/>
        <v>Normal</v>
      </c>
      <c r="U245" s="2" t="str">
        <f t="shared" si="32"/>
        <v>No</v>
      </c>
      <c r="V245" s="2" t="str">
        <f t="shared" si="33"/>
        <v>No</v>
      </c>
      <c r="W245" s="2" t="str">
        <f t="shared" si="34"/>
        <v>Regular</v>
      </c>
      <c r="X245" s="2" t="str">
        <f t="shared" si="35"/>
        <v>Discounted Bulk</v>
      </c>
    </row>
    <row r="246" spans="1:24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16</v>
      </c>
      <c r="F246" s="2" t="s">
        <v>17</v>
      </c>
      <c r="G246" s="2" t="s">
        <v>31</v>
      </c>
      <c r="H246" s="2" t="s">
        <v>43</v>
      </c>
      <c r="I246" s="2" t="s">
        <v>50</v>
      </c>
      <c r="J246" s="2" t="s">
        <v>52</v>
      </c>
      <c r="K246" s="2" t="s">
        <v>48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27"/>
        <v>12035.6</v>
      </c>
      <c r="Q246" s="2" t="str">
        <f t="shared" si="28"/>
        <v>No</v>
      </c>
      <c r="R246" s="2" t="str">
        <f t="shared" si="29"/>
        <v>Yes</v>
      </c>
      <c r="S246" s="2" t="str">
        <f t="shared" si="30"/>
        <v>No</v>
      </c>
      <c r="T246" s="2" t="str">
        <f t="shared" si="31"/>
        <v>Normal</v>
      </c>
      <c r="U246" s="2" t="str">
        <f t="shared" si="32"/>
        <v>No</v>
      </c>
      <c r="V246" s="2" t="str">
        <f t="shared" si="33"/>
        <v>No</v>
      </c>
      <c r="W246" s="2" t="str">
        <f t="shared" si="34"/>
        <v>Regular</v>
      </c>
      <c r="X246" s="2" t="str">
        <f t="shared" si="35"/>
        <v>Non Discounted Bulk</v>
      </c>
    </row>
    <row r="247" spans="1:24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17</v>
      </c>
      <c r="F247" s="2" t="s">
        <v>30</v>
      </c>
      <c r="G247" s="2" t="s">
        <v>25</v>
      </c>
      <c r="H247" s="2" t="s">
        <v>26</v>
      </c>
      <c r="I247" s="2" t="s">
        <v>53</v>
      </c>
      <c r="J247" s="2" t="s">
        <v>54</v>
      </c>
      <c r="K247" s="2" t="s">
        <v>46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27"/>
        <v>3082.45</v>
      </c>
      <c r="Q247" s="2" t="str">
        <f t="shared" si="28"/>
        <v>No</v>
      </c>
      <c r="R247" s="2" t="str">
        <f t="shared" si="29"/>
        <v>No</v>
      </c>
      <c r="S247" s="2" t="str">
        <f t="shared" si="30"/>
        <v>Yes</v>
      </c>
      <c r="T247" s="2" t="str">
        <f t="shared" si="31"/>
        <v>Normal</v>
      </c>
      <c r="U247" s="2" t="str">
        <f t="shared" si="32"/>
        <v>Yes</v>
      </c>
      <c r="V247" s="2" t="str">
        <f t="shared" si="33"/>
        <v>Yes</v>
      </c>
      <c r="W247" s="2" t="str">
        <f t="shared" si="34"/>
        <v>Regular</v>
      </c>
      <c r="X247" s="2" t="str">
        <f t="shared" si="35"/>
        <v>Discounted Bulk</v>
      </c>
    </row>
    <row r="248" spans="1:24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16</v>
      </c>
      <c r="F248" s="2" t="s">
        <v>55</v>
      </c>
      <c r="G248" s="2" t="s">
        <v>31</v>
      </c>
      <c r="H248" s="2" t="s">
        <v>36</v>
      </c>
      <c r="I248" s="2" t="s">
        <v>53</v>
      </c>
      <c r="J248" s="2" t="s">
        <v>65</v>
      </c>
      <c r="K248" s="2" t="s">
        <v>48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27"/>
        <v>14715.89</v>
      </c>
      <c r="Q248" s="2" t="str">
        <f t="shared" si="28"/>
        <v>Yes</v>
      </c>
      <c r="R248" s="2" t="str">
        <f t="shared" si="29"/>
        <v>No</v>
      </c>
      <c r="S248" s="2" t="str">
        <f t="shared" si="30"/>
        <v>No</v>
      </c>
      <c r="T248" s="2" t="str">
        <f t="shared" si="31"/>
        <v>Normal</v>
      </c>
      <c r="U248" s="2" t="str">
        <f t="shared" si="32"/>
        <v>No</v>
      </c>
      <c r="V248" s="2" t="str">
        <f t="shared" si="33"/>
        <v>No</v>
      </c>
      <c r="W248" s="2" t="str">
        <f t="shared" si="34"/>
        <v>Regular</v>
      </c>
      <c r="X248" s="2" t="str">
        <f t="shared" si="35"/>
        <v>Discounted Bulk</v>
      </c>
    </row>
    <row r="249" spans="1:24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23</v>
      </c>
      <c r="F249" s="2" t="s">
        <v>17</v>
      </c>
      <c r="G249" s="2" t="s">
        <v>31</v>
      </c>
      <c r="H249" s="2" t="s">
        <v>43</v>
      </c>
      <c r="I249" s="2" t="s">
        <v>32</v>
      </c>
      <c r="J249" s="2" t="s">
        <v>40</v>
      </c>
      <c r="K249" s="2" t="s">
        <v>22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27"/>
        <v>18241.440000000002</v>
      </c>
      <c r="Q249" s="2" t="str">
        <f t="shared" si="28"/>
        <v>Yes</v>
      </c>
      <c r="R249" s="2" t="str">
        <f t="shared" si="29"/>
        <v>No</v>
      </c>
      <c r="S249" s="2" t="str">
        <f t="shared" si="30"/>
        <v>No</v>
      </c>
      <c r="T249" s="2" t="str">
        <f t="shared" si="31"/>
        <v>Normal</v>
      </c>
      <c r="U249" s="2" t="str">
        <f t="shared" si="32"/>
        <v>No</v>
      </c>
      <c r="V249" s="2" t="str">
        <f t="shared" si="33"/>
        <v>No</v>
      </c>
      <c r="W249" s="2" t="str">
        <f t="shared" si="34"/>
        <v>Regular</v>
      </c>
      <c r="X249" s="2" t="str">
        <f t="shared" si="35"/>
        <v>Discounted Bulk</v>
      </c>
    </row>
    <row r="250" spans="1:24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47</v>
      </c>
      <c r="F250" s="2" t="s">
        <v>42</v>
      </c>
      <c r="G250" s="2" t="s">
        <v>18</v>
      </c>
      <c r="H250" s="2" t="s">
        <v>19</v>
      </c>
      <c r="I250" s="2" t="s">
        <v>32</v>
      </c>
      <c r="J250" s="2" t="s">
        <v>66</v>
      </c>
      <c r="K250" s="2" t="s">
        <v>46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27"/>
        <v>3942.92</v>
      </c>
      <c r="Q250" s="2" t="str">
        <f t="shared" si="28"/>
        <v>No</v>
      </c>
      <c r="R250" s="2" t="str">
        <f t="shared" si="29"/>
        <v>No</v>
      </c>
      <c r="S250" s="2" t="str">
        <f t="shared" si="30"/>
        <v>Yes</v>
      </c>
      <c r="T250" s="2" t="str">
        <f t="shared" si="31"/>
        <v>Normal</v>
      </c>
      <c r="U250" s="2" t="str">
        <f t="shared" si="32"/>
        <v>No</v>
      </c>
      <c r="V250" s="2" t="str">
        <f t="shared" si="33"/>
        <v>No</v>
      </c>
      <c r="W250" s="2" t="str">
        <f t="shared" si="34"/>
        <v>Regular</v>
      </c>
      <c r="X250" s="2" t="str">
        <f t="shared" si="35"/>
        <v>Discounted Bulk</v>
      </c>
    </row>
    <row r="251" spans="1:24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35</v>
      </c>
      <c r="F251" s="2" t="s">
        <v>17</v>
      </c>
      <c r="G251" s="2" t="s">
        <v>18</v>
      </c>
      <c r="H251" s="2" t="s">
        <v>36</v>
      </c>
      <c r="I251" s="2" t="s">
        <v>27</v>
      </c>
      <c r="J251" s="2" t="s">
        <v>70</v>
      </c>
      <c r="K251" s="2" t="s">
        <v>29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27"/>
        <v>27961.38</v>
      </c>
      <c r="Q251" s="2" t="str">
        <f t="shared" si="28"/>
        <v>Yes</v>
      </c>
      <c r="R251" s="2" t="str">
        <f t="shared" si="29"/>
        <v>Yes</v>
      </c>
      <c r="S251" s="2" t="str">
        <f t="shared" si="30"/>
        <v>Yes</v>
      </c>
      <c r="T251" s="2" t="str">
        <f t="shared" si="31"/>
        <v>Normal</v>
      </c>
      <c r="U251" s="2" t="str">
        <f t="shared" si="32"/>
        <v>No</v>
      </c>
      <c r="V251" s="2" t="str">
        <f t="shared" si="33"/>
        <v>No</v>
      </c>
      <c r="W251" s="2" t="str">
        <f t="shared" si="34"/>
        <v>Regular</v>
      </c>
      <c r="X251" s="2" t="str">
        <f t="shared" si="35"/>
        <v>Non Discounted Bulk</v>
      </c>
    </row>
    <row r="252" spans="1:24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17</v>
      </c>
      <c r="F252" s="2" t="s">
        <v>24</v>
      </c>
      <c r="G252" s="2" t="s">
        <v>18</v>
      </c>
      <c r="H252" s="2" t="s">
        <v>26</v>
      </c>
      <c r="I252" s="2" t="s">
        <v>32</v>
      </c>
      <c r="J252" s="2" t="s">
        <v>49</v>
      </c>
      <c r="K252" s="2" t="s">
        <v>29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27"/>
        <v>14578.32</v>
      </c>
      <c r="Q252" s="2" t="str">
        <f t="shared" si="28"/>
        <v>Yes</v>
      </c>
      <c r="R252" s="2" t="str">
        <f t="shared" si="29"/>
        <v>Yes</v>
      </c>
      <c r="S252" s="2" t="str">
        <f t="shared" si="30"/>
        <v>Yes</v>
      </c>
      <c r="T252" s="2" t="str">
        <f t="shared" si="31"/>
        <v>Normal</v>
      </c>
      <c r="U252" s="2" t="str">
        <f t="shared" si="32"/>
        <v>No</v>
      </c>
      <c r="V252" s="2" t="str">
        <f t="shared" si="33"/>
        <v>No</v>
      </c>
      <c r="W252" s="2" t="str">
        <f t="shared" si="34"/>
        <v>Regular</v>
      </c>
      <c r="X252" s="2" t="str">
        <f t="shared" si="35"/>
        <v>Non Discounted Bulk</v>
      </c>
    </row>
    <row r="253" spans="1:24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38</v>
      </c>
      <c r="F253" s="2" t="s">
        <v>39</v>
      </c>
      <c r="G253" s="2" t="s">
        <v>25</v>
      </c>
      <c r="H253" s="2" t="s">
        <v>43</v>
      </c>
      <c r="I253" s="2" t="s">
        <v>53</v>
      </c>
      <c r="J253" s="2" t="s">
        <v>61</v>
      </c>
      <c r="K253" s="2" t="s">
        <v>34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27"/>
        <v>7475.2</v>
      </c>
      <c r="Q253" s="2" t="str">
        <f t="shared" si="28"/>
        <v>No</v>
      </c>
      <c r="R253" s="2" t="str">
        <f t="shared" si="29"/>
        <v>No</v>
      </c>
      <c r="S253" s="2" t="str">
        <f t="shared" si="30"/>
        <v>Yes</v>
      </c>
      <c r="T253" s="2" t="str">
        <f t="shared" si="31"/>
        <v>Normal</v>
      </c>
      <c r="U253" s="2" t="str">
        <f t="shared" si="32"/>
        <v>Yes</v>
      </c>
      <c r="V253" s="2" t="str">
        <f t="shared" si="33"/>
        <v>Yes</v>
      </c>
      <c r="W253" s="2" t="str">
        <f t="shared" si="34"/>
        <v>Regular</v>
      </c>
      <c r="X253" s="2" t="str">
        <f t="shared" si="35"/>
        <v>Discounted Bulk</v>
      </c>
    </row>
    <row r="254" spans="1:24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41</v>
      </c>
      <c r="F254" s="2" t="s">
        <v>42</v>
      </c>
      <c r="G254" s="2" t="s">
        <v>25</v>
      </c>
      <c r="H254" s="2" t="s">
        <v>36</v>
      </c>
      <c r="I254" s="2" t="s">
        <v>20</v>
      </c>
      <c r="J254" s="2" t="s">
        <v>21</v>
      </c>
      <c r="K254" s="2" t="s">
        <v>48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27"/>
        <v>12661.35</v>
      </c>
      <c r="Q254" s="2" t="str">
        <f t="shared" si="28"/>
        <v>Yes</v>
      </c>
      <c r="R254" s="2" t="str">
        <f t="shared" si="29"/>
        <v>No</v>
      </c>
      <c r="S254" s="2" t="str">
        <f t="shared" si="30"/>
        <v>Yes</v>
      </c>
      <c r="T254" s="2" t="str">
        <f t="shared" si="31"/>
        <v>Normal</v>
      </c>
      <c r="U254" s="2" t="str">
        <f t="shared" si="32"/>
        <v>Yes</v>
      </c>
      <c r="V254" s="2" t="str">
        <f t="shared" si="33"/>
        <v>Yes</v>
      </c>
      <c r="W254" s="2" t="str">
        <f t="shared" si="34"/>
        <v>Regular</v>
      </c>
      <c r="X254" s="2" t="str">
        <f t="shared" si="35"/>
        <v>Discounted Bulk</v>
      </c>
    </row>
    <row r="255" spans="1:24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23</v>
      </c>
      <c r="F255" s="2" t="s">
        <v>17</v>
      </c>
      <c r="G255" s="2" t="s">
        <v>18</v>
      </c>
      <c r="H255" s="2" t="s">
        <v>43</v>
      </c>
      <c r="I255" s="2" t="s">
        <v>53</v>
      </c>
      <c r="J255" s="2" t="s">
        <v>65</v>
      </c>
      <c r="K255" s="2" t="s">
        <v>46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27"/>
        <v>5423.32</v>
      </c>
      <c r="Q255" s="2" t="str">
        <f t="shared" si="28"/>
        <v>No</v>
      </c>
      <c r="R255" s="2" t="str">
        <f t="shared" si="29"/>
        <v>No</v>
      </c>
      <c r="S255" s="2" t="str">
        <f t="shared" si="30"/>
        <v>Yes</v>
      </c>
      <c r="T255" s="2" t="str">
        <f t="shared" si="31"/>
        <v>Normal</v>
      </c>
      <c r="U255" s="2" t="str">
        <f t="shared" si="32"/>
        <v>No</v>
      </c>
      <c r="V255" s="2" t="str">
        <f t="shared" si="33"/>
        <v>No</v>
      </c>
      <c r="W255" s="2" t="str">
        <f t="shared" si="34"/>
        <v>Regular</v>
      </c>
      <c r="X255" s="2" t="str">
        <f t="shared" si="35"/>
        <v>Discounted Bulk</v>
      </c>
    </row>
    <row r="256" spans="1:24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17</v>
      </c>
      <c r="F256" s="2" t="s">
        <v>42</v>
      </c>
      <c r="G256" s="2" t="s">
        <v>18</v>
      </c>
      <c r="H256" s="2" t="s">
        <v>43</v>
      </c>
      <c r="I256" s="2" t="s">
        <v>20</v>
      </c>
      <c r="J256" s="2" t="s">
        <v>21</v>
      </c>
      <c r="K256" s="2" t="s">
        <v>34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27"/>
        <v>18699.659999999996</v>
      </c>
      <c r="Q256" s="2" t="str">
        <f t="shared" si="28"/>
        <v>Yes</v>
      </c>
      <c r="R256" s="2" t="str">
        <f t="shared" si="29"/>
        <v>Yes</v>
      </c>
      <c r="S256" s="2" t="str">
        <f t="shared" si="30"/>
        <v>Yes</v>
      </c>
      <c r="T256" s="2" t="str">
        <f t="shared" si="31"/>
        <v>Normal</v>
      </c>
      <c r="U256" s="2" t="str">
        <f t="shared" si="32"/>
        <v>No</v>
      </c>
      <c r="V256" s="2" t="str">
        <f t="shared" si="33"/>
        <v>No</v>
      </c>
      <c r="W256" s="2" t="str">
        <f t="shared" si="34"/>
        <v>Regular</v>
      </c>
      <c r="X256" s="2" t="str">
        <f t="shared" si="35"/>
        <v>Non Discounted Bulk</v>
      </c>
    </row>
    <row r="257" spans="1:24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38</v>
      </c>
      <c r="F257" s="2" t="s">
        <v>42</v>
      </c>
      <c r="G257" s="2" t="s">
        <v>25</v>
      </c>
      <c r="H257" s="2" t="s">
        <v>26</v>
      </c>
      <c r="I257" s="2" t="s">
        <v>20</v>
      </c>
      <c r="J257" s="2" t="s">
        <v>21</v>
      </c>
      <c r="K257" s="2" t="s">
        <v>46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27"/>
        <v>15796.32</v>
      </c>
      <c r="Q257" s="2" t="str">
        <f t="shared" si="28"/>
        <v>Yes</v>
      </c>
      <c r="R257" s="2" t="str">
        <f t="shared" si="29"/>
        <v>No</v>
      </c>
      <c r="S257" s="2" t="str">
        <f t="shared" si="30"/>
        <v>Yes</v>
      </c>
      <c r="T257" s="2" t="str">
        <f t="shared" si="31"/>
        <v>Normal</v>
      </c>
      <c r="U257" s="2" t="str">
        <f t="shared" si="32"/>
        <v>Yes</v>
      </c>
      <c r="V257" s="2" t="str">
        <f t="shared" si="33"/>
        <v>Yes</v>
      </c>
      <c r="W257" s="2" t="str">
        <f t="shared" si="34"/>
        <v>Regular</v>
      </c>
      <c r="X257" s="2" t="str">
        <f t="shared" si="35"/>
        <v>Discounted Bulk</v>
      </c>
    </row>
    <row r="258" spans="1:24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41</v>
      </c>
      <c r="F258" s="2" t="s">
        <v>42</v>
      </c>
      <c r="G258" s="2" t="s">
        <v>25</v>
      </c>
      <c r="H258" s="2" t="s">
        <v>45</v>
      </c>
      <c r="I258" s="2" t="s">
        <v>32</v>
      </c>
      <c r="J258" s="2" t="s">
        <v>33</v>
      </c>
      <c r="K258" s="2" t="s">
        <v>48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27"/>
        <v>721.8</v>
      </c>
      <c r="Q258" s="2" t="str">
        <f t="shared" si="28"/>
        <v>No</v>
      </c>
      <c r="R258" s="2" t="str">
        <f t="shared" si="29"/>
        <v>No</v>
      </c>
      <c r="S258" s="2" t="str">
        <f t="shared" si="30"/>
        <v>Yes</v>
      </c>
      <c r="T258" s="2" t="str">
        <f t="shared" si="31"/>
        <v>Normal</v>
      </c>
      <c r="U258" s="2" t="str">
        <f t="shared" si="32"/>
        <v>Yes</v>
      </c>
      <c r="V258" s="2" t="str">
        <f t="shared" si="33"/>
        <v>Yes</v>
      </c>
      <c r="W258" s="2" t="str">
        <f t="shared" si="34"/>
        <v>Regular</v>
      </c>
      <c r="X258" s="2" t="str">
        <f t="shared" si="35"/>
        <v>Discounted Bulk</v>
      </c>
    </row>
    <row r="259" spans="1:24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41</v>
      </c>
      <c r="F259" s="2" t="s">
        <v>39</v>
      </c>
      <c r="G259" s="2" t="s">
        <v>25</v>
      </c>
      <c r="H259" s="2" t="s">
        <v>36</v>
      </c>
      <c r="I259" s="2" t="s">
        <v>58</v>
      </c>
      <c r="J259" s="2" t="s">
        <v>60</v>
      </c>
      <c r="K259" s="2" t="s">
        <v>29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36">L259*M259</f>
        <v>12628.35</v>
      </c>
      <c r="Q259" s="2" t="str">
        <f t="shared" ref="Q259:Q322" si="37">IF(AND(L259&gt;=5,O259&gt;=10000),"Yes","No")</f>
        <v>Yes</v>
      </c>
      <c r="R259" s="2" t="str">
        <f t="shared" ref="R259:R322" si="38">IF(AND(L259&gt;=8,N259&gt;=10),"Yes","No")</f>
        <v>No</v>
      </c>
      <c r="S259" s="2" t="str">
        <f t="shared" ref="S259:S322" si="39">IF(OR(G259="Website",G259="Mobile App"),"Yes","No")</f>
        <v>Yes</v>
      </c>
      <c r="T259" s="2" t="str">
        <f t="shared" ref="T259:T322" si="40">IF(AND(L259&lt;3,O259&lt;=1000),"Special Attention","Normal")</f>
        <v>Normal</v>
      </c>
      <c r="U259" s="2" t="str">
        <f t="shared" ref="U259:U322" si="41">IF(NOT(G259="Website"),"No","Yes")</f>
        <v>Yes</v>
      </c>
      <c r="V259" s="2" t="str">
        <f t="shared" ref="V259:V322" si="42">IF((G259&lt;&gt;"Website"), "No","Yes")</f>
        <v>Yes</v>
      </c>
      <c r="W259" s="2" t="str">
        <f t="shared" ref="W259:W322" si="43">IF(AND(O259&gt;15000,OR(I259="Electronics",I259="Beauty")),"Premium","Regular")</f>
        <v>Regular</v>
      </c>
      <c r="X259" s="2" t="str">
        <f t="shared" ref="X259:X322" si="44">IF(AND(L259&gt;=8,NOT(N259=0)),"Non Discounted Bulk","Discounted Bulk")</f>
        <v>Discounted Bulk</v>
      </c>
    </row>
    <row r="260" spans="1:24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17</v>
      </c>
      <c r="F260" s="2" t="s">
        <v>30</v>
      </c>
      <c r="G260" s="2" t="s">
        <v>25</v>
      </c>
      <c r="H260" s="2" t="s">
        <v>26</v>
      </c>
      <c r="I260" s="2" t="s">
        <v>50</v>
      </c>
      <c r="J260" s="2" t="s">
        <v>52</v>
      </c>
      <c r="K260" s="2" t="s">
        <v>22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36"/>
        <v>11015.19</v>
      </c>
      <c r="Q260" s="2" t="str">
        <f t="shared" si="37"/>
        <v>Yes</v>
      </c>
      <c r="R260" s="2" t="str">
        <f t="shared" si="38"/>
        <v>No</v>
      </c>
      <c r="S260" s="2" t="str">
        <f t="shared" si="39"/>
        <v>Yes</v>
      </c>
      <c r="T260" s="2" t="str">
        <f t="shared" si="40"/>
        <v>Normal</v>
      </c>
      <c r="U260" s="2" t="str">
        <f t="shared" si="41"/>
        <v>Yes</v>
      </c>
      <c r="V260" s="2" t="str">
        <f t="shared" si="42"/>
        <v>Yes</v>
      </c>
      <c r="W260" s="2" t="str">
        <f t="shared" si="43"/>
        <v>Regular</v>
      </c>
      <c r="X260" s="2" t="str">
        <f t="shared" si="44"/>
        <v>Non Discounted Bulk</v>
      </c>
    </row>
    <row r="261" spans="1:24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23</v>
      </c>
      <c r="F261" s="2" t="s">
        <v>42</v>
      </c>
      <c r="G261" s="2" t="s">
        <v>18</v>
      </c>
      <c r="H261" s="2" t="s">
        <v>43</v>
      </c>
      <c r="I261" s="2" t="s">
        <v>32</v>
      </c>
      <c r="J261" s="2" t="s">
        <v>66</v>
      </c>
      <c r="K261" s="2" t="s">
        <v>29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36"/>
        <v>1941.96</v>
      </c>
      <c r="Q261" s="2" t="str">
        <f t="shared" si="37"/>
        <v>No</v>
      </c>
      <c r="R261" s="2" t="str">
        <f t="shared" si="38"/>
        <v>No</v>
      </c>
      <c r="S261" s="2" t="str">
        <f t="shared" si="39"/>
        <v>Yes</v>
      </c>
      <c r="T261" s="2" t="str">
        <f t="shared" si="40"/>
        <v>Normal</v>
      </c>
      <c r="U261" s="2" t="str">
        <f t="shared" si="41"/>
        <v>No</v>
      </c>
      <c r="V261" s="2" t="str">
        <f t="shared" si="42"/>
        <v>No</v>
      </c>
      <c r="W261" s="2" t="str">
        <f t="shared" si="43"/>
        <v>Regular</v>
      </c>
      <c r="X261" s="2" t="str">
        <f t="shared" si="44"/>
        <v>Discounted Bulk</v>
      </c>
    </row>
    <row r="262" spans="1:24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16</v>
      </c>
      <c r="F262" s="2" t="s">
        <v>55</v>
      </c>
      <c r="G262" s="2" t="s">
        <v>25</v>
      </c>
      <c r="H262" s="2" t="s">
        <v>26</v>
      </c>
      <c r="I262" s="2" t="s">
        <v>32</v>
      </c>
      <c r="J262" s="2" t="s">
        <v>33</v>
      </c>
      <c r="K262" s="2" t="s">
        <v>34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36"/>
        <v>1066.5</v>
      </c>
      <c r="Q262" s="2" t="str">
        <f t="shared" si="37"/>
        <v>No</v>
      </c>
      <c r="R262" s="2" t="str">
        <f t="shared" si="38"/>
        <v>No</v>
      </c>
      <c r="S262" s="2" t="str">
        <f t="shared" si="39"/>
        <v>Yes</v>
      </c>
      <c r="T262" s="2" t="str">
        <f t="shared" si="40"/>
        <v>Normal</v>
      </c>
      <c r="U262" s="2" t="str">
        <f t="shared" si="41"/>
        <v>Yes</v>
      </c>
      <c r="V262" s="2" t="str">
        <f t="shared" si="42"/>
        <v>Yes</v>
      </c>
      <c r="W262" s="2" t="str">
        <f t="shared" si="43"/>
        <v>Regular</v>
      </c>
      <c r="X262" s="2" t="str">
        <f t="shared" si="44"/>
        <v>Discounted Bulk</v>
      </c>
    </row>
    <row r="263" spans="1:24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16</v>
      </c>
      <c r="F263" s="2" t="s">
        <v>24</v>
      </c>
      <c r="G263" s="2" t="s">
        <v>18</v>
      </c>
      <c r="H263" s="2" t="s">
        <v>45</v>
      </c>
      <c r="I263" s="2" t="s">
        <v>58</v>
      </c>
      <c r="J263" s="2" t="s">
        <v>60</v>
      </c>
      <c r="K263" s="2" t="s">
        <v>22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36"/>
        <v>17306.03</v>
      </c>
      <c r="Q263" s="2" t="str">
        <f t="shared" si="37"/>
        <v>Yes</v>
      </c>
      <c r="R263" s="2" t="str">
        <f t="shared" si="38"/>
        <v>No</v>
      </c>
      <c r="S263" s="2" t="str">
        <f t="shared" si="39"/>
        <v>Yes</v>
      </c>
      <c r="T263" s="2" t="str">
        <f t="shared" si="40"/>
        <v>Normal</v>
      </c>
      <c r="U263" s="2" t="str">
        <f t="shared" si="41"/>
        <v>No</v>
      </c>
      <c r="V263" s="2" t="str">
        <f t="shared" si="42"/>
        <v>No</v>
      </c>
      <c r="W263" s="2" t="str">
        <f t="shared" si="43"/>
        <v>Regular</v>
      </c>
      <c r="X263" s="2" t="str">
        <f t="shared" si="44"/>
        <v>Discounted Bulk</v>
      </c>
    </row>
    <row r="264" spans="1:24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41</v>
      </c>
      <c r="F264" s="2" t="s">
        <v>39</v>
      </c>
      <c r="G264" s="2" t="s">
        <v>31</v>
      </c>
      <c r="H264" s="2" t="s">
        <v>36</v>
      </c>
      <c r="I264" s="2" t="s">
        <v>50</v>
      </c>
      <c r="J264" s="2" t="s">
        <v>64</v>
      </c>
      <c r="K264" s="2" t="s">
        <v>34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36"/>
        <v>15161.02</v>
      </c>
      <c r="Q264" s="2" t="str">
        <f t="shared" si="37"/>
        <v>Yes</v>
      </c>
      <c r="R264" s="2" t="str">
        <f t="shared" si="38"/>
        <v>No</v>
      </c>
      <c r="S264" s="2" t="str">
        <f t="shared" si="39"/>
        <v>No</v>
      </c>
      <c r="T264" s="2" t="str">
        <f t="shared" si="40"/>
        <v>Normal</v>
      </c>
      <c r="U264" s="2" t="str">
        <f t="shared" si="41"/>
        <v>No</v>
      </c>
      <c r="V264" s="2" t="str">
        <f t="shared" si="42"/>
        <v>No</v>
      </c>
      <c r="W264" s="2" t="str">
        <f t="shared" si="43"/>
        <v>Premium</v>
      </c>
      <c r="X264" s="2" t="str">
        <f t="shared" si="44"/>
        <v>Discounted Bulk</v>
      </c>
    </row>
    <row r="265" spans="1:24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16</v>
      </c>
      <c r="F265" s="2" t="s">
        <v>17</v>
      </c>
      <c r="G265" s="2" t="s">
        <v>31</v>
      </c>
      <c r="H265" s="2" t="s">
        <v>45</v>
      </c>
      <c r="I265" s="2" t="s">
        <v>53</v>
      </c>
      <c r="J265" s="2" t="s">
        <v>61</v>
      </c>
      <c r="K265" s="2" t="s">
        <v>48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36"/>
        <v>4505.2</v>
      </c>
      <c r="Q265" s="2" t="str">
        <f t="shared" si="37"/>
        <v>No</v>
      </c>
      <c r="R265" s="2" t="str">
        <f t="shared" si="38"/>
        <v>No</v>
      </c>
      <c r="S265" s="2" t="str">
        <f t="shared" si="39"/>
        <v>No</v>
      </c>
      <c r="T265" s="2" t="str">
        <f t="shared" si="40"/>
        <v>Normal</v>
      </c>
      <c r="U265" s="2" t="str">
        <f t="shared" si="41"/>
        <v>No</v>
      </c>
      <c r="V265" s="2" t="str">
        <f t="shared" si="42"/>
        <v>No</v>
      </c>
      <c r="W265" s="2" t="str">
        <f t="shared" si="43"/>
        <v>Regular</v>
      </c>
      <c r="X265" s="2" t="str">
        <f t="shared" si="44"/>
        <v>Discounted Bulk</v>
      </c>
    </row>
    <row r="266" spans="1:24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47</v>
      </c>
      <c r="F266" s="2" t="s">
        <v>39</v>
      </c>
      <c r="G266" s="2" t="s">
        <v>25</v>
      </c>
      <c r="H266" s="2" t="s">
        <v>19</v>
      </c>
      <c r="I266" s="2" t="s">
        <v>27</v>
      </c>
      <c r="J266" s="2" t="s">
        <v>62</v>
      </c>
      <c r="K266" s="2" t="s">
        <v>22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36"/>
        <v>17668.440000000002</v>
      </c>
      <c r="Q266" s="2" t="str">
        <f t="shared" si="37"/>
        <v>Yes</v>
      </c>
      <c r="R266" s="2" t="str">
        <f t="shared" si="38"/>
        <v>Yes</v>
      </c>
      <c r="S266" s="2" t="str">
        <f t="shared" si="39"/>
        <v>Yes</v>
      </c>
      <c r="T266" s="2" t="str">
        <f t="shared" si="40"/>
        <v>Normal</v>
      </c>
      <c r="U266" s="2" t="str">
        <f t="shared" si="41"/>
        <v>Yes</v>
      </c>
      <c r="V266" s="2" t="str">
        <f t="shared" si="42"/>
        <v>Yes</v>
      </c>
      <c r="W266" s="2" t="str">
        <f t="shared" si="43"/>
        <v>Regular</v>
      </c>
      <c r="X266" s="2" t="str">
        <f t="shared" si="44"/>
        <v>Non Discounted Bulk</v>
      </c>
    </row>
    <row r="267" spans="1:24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41</v>
      </c>
      <c r="F267" s="2" t="s">
        <v>17</v>
      </c>
      <c r="G267" s="2" t="s">
        <v>31</v>
      </c>
      <c r="H267" s="2" t="s">
        <v>36</v>
      </c>
      <c r="I267" s="2" t="s">
        <v>27</v>
      </c>
      <c r="J267" s="2" t="s">
        <v>62</v>
      </c>
      <c r="K267" s="2" t="s">
        <v>34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36"/>
        <v>16360.72</v>
      </c>
      <c r="Q267" s="2" t="str">
        <f t="shared" si="37"/>
        <v>Yes</v>
      </c>
      <c r="R267" s="2" t="str">
        <f t="shared" si="38"/>
        <v>Yes</v>
      </c>
      <c r="S267" s="2" t="str">
        <f t="shared" si="39"/>
        <v>No</v>
      </c>
      <c r="T267" s="2" t="str">
        <f t="shared" si="40"/>
        <v>Normal</v>
      </c>
      <c r="U267" s="2" t="str">
        <f t="shared" si="41"/>
        <v>No</v>
      </c>
      <c r="V267" s="2" t="str">
        <f t="shared" si="42"/>
        <v>No</v>
      </c>
      <c r="W267" s="2" t="str">
        <f t="shared" si="43"/>
        <v>Regular</v>
      </c>
      <c r="X267" s="2" t="str">
        <f t="shared" si="44"/>
        <v>Non Discounted Bulk</v>
      </c>
    </row>
    <row r="268" spans="1:24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41</v>
      </c>
      <c r="F268" s="2" t="s">
        <v>39</v>
      </c>
      <c r="G268" s="2" t="s">
        <v>31</v>
      </c>
      <c r="H268" s="2" t="s">
        <v>45</v>
      </c>
      <c r="I268" s="2" t="s">
        <v>53</v>
      </c>
      <c r="J268" s="2" t="s">
        <v>54</v>
      </c>
      <c r="K268" s="2" t="s">
        <v>48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36"/>
        <v>900.78</v>
      </c>
      <c r="Q268" s="2" t="str">
        <f t="shared" si="37"/>
        <v>No</v>
      </c>
      <c r="R268" s="2" t="str">
        <f t="shared" si="38"/>
        <v>No</v>
      </c>
      <c r="S268" s="2" t="str">
        <f t="shared" si="39"/>
        <v>No</v>
      </c>
      <c r="T268" s="2" t="str">
        <f t="shared" si="40"/>
        <v>Special Attention</v>
      </c>
      <c r="U268" s="2" t="str">
        <f t="shared" si="41"/>
        <v>No</v>
      </c>
      <c r="V268" s="2" t="str">
        <f t="shared" si="42"/>
        <v>No</v>
      </c>
      <c r="W268" s="2" t="str">
        <f t="shared" si="43"/>
        <v>Regular</v>
      </c>
      <c r="X268" s="2" t="str">
        <f t="shared" si="44"/>
        <v>Discounted Bulk</v>
      </c>
    </row>
    <row r="269" spans="1:24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38</v>
      </c>
      <c r="F269" s="2" t="s">
        <v>17</v>
      </c>
      <c r="G269" s="2" t="s">
        <v>31</v>
      </c>
      <c r="H269" s="2" t="s">
        <v>43</v>
      </c>
      <c r="I269" s="2" t="s">
        <v>32</v>
      </c>
      <c r="J269" s="2" t="s">
        <v>40</v>
      </c>
      <c r="K269" s="2" t="s">
        <v>29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36"/>
        <v>2660.56</v>
      </c>
      <c r="Q269" s="2" t="str">
        <f t="shared" si="37"/>
        <v>No</v>
      </c>
      <c r="R269" s="2" t="str">
        <f t="shared" si="38"/>
        <v>No</v>
      </c>
      <c r="S269" s="2" t="str">
        <f t="shared" si="39"/>
        <v>No</v>
      </c>
      <c r="T269" s="2" t="str">
        <f t="shared" si="40"/>
        <v>Normal</v>
      </c>
      <c r="U269" s="2" t="str">
        <f t="shared" si="41"/>
        <v>No</v>
      </c>
      <c r="V269" s="2" t="str">
        <f t="shared" si="42"/>
        <v>No</v>
      </c>
      <c r="W269" s="2" t="str">
        <f t="shared" si="43"/>
        <v>Regular</v>
      </c>
      <c r="X269" s="2" t="str">
        <f t="shared" si="44"/>
        <v>Discounted Bulk</v>
      </c>
    </row>
    <row r="270" spans="1:24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16</v>
      </c>
      <c r="F270" s="2" t="s">
        <v>42</v>
      </c>
      <c r="G270" s="2" t="s">
        <v>25</v>
      </c>
      <c r="H270" s="2" t="s">
        <v>36</v>
      </c>
      <c r="I270" s="2" t="s">
        <v>50</v>
      </c>
      <c r="J270" s="2" t="s">
        <v>52</v>
      </c>
      <c r="K270" s="2" t="s">
        <v>48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36"/>
        <v>15782.7</v>
      </c>
      <c r="Q270" s="2" t="str">
        <f t="shared" si="37"/>
        <v>Yes</v>
      </c>
      <c r="R270" s="2" t="str">
        <f t="shared" si="38"/>
        <v>No</v>
      </c>
      <c r="S270" s="2" t="str">
        <f t="shared" si="39"/>
        <v>Yes</v>
      </c>
      <c r="T270" s="2" t="str">
        <f t="shared" si="40"/>
        <v>Normal</v>
      </c>
      <c r="U270" s="2" t="str">
        <f t="shared" si="41"/>
        <v>Yes</v>
      </c>
      <c r="V270" s="2" t="str">
        <f t="shared" si="42"/>
        <v>Yes</v>
      </c>
      <c r="W270" s="2" t="str">
        <f t="shared" si="43"/>
        <v>Regular</v>
      </c>
      <c r="X270" s="2" t="str">
        <f t="shared" si="44"/>
        <v>Discounted Bulk</v>
      </c>
    </row>
    <row r="271" spans="1:24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23</v>
      </c>
      <c r="F271" s="2" t="s">
        <v>30</v>
      </c>
      <c r="G271" s="2" t="s">
        <v>25</v>
      </c>
      <c r="H271" s="2" t="s">
        <v>36</v>
      </c>
      <c r="I271" s="2" t="s">
        <v>32</v>
      </c>
      <c r="J271" s="2" t="s">
        <v>66</v>
      </c>
      <c r="K271" s="2" t="s">
        <v>46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36"/>
        <v>19182.78</v>
      </c>
      <c r="Q271" s="2" t="str">
        <f t="shared" si="37"/>
        <v>Yes</v>
      </c>
      <c r="R271" s="2" t="str">
        <f t="shared" si="38"/>
        <v>No</v>
      </c>
      <c r="S271" s="2" t="str">
        <f t="shared" si="39"/>
        <v>Yes</v>
      </c>
      <c r="T271" s="2" t="str">
        <f t="shared" si="40"/>
        <v>Normal</v>
      </c>
      <c r="U271" s="2" t="str">
        <f t="shared" si="41"/>
        <v>Yes</v>
      </c>
      <c r="V271" s="2" t="str">
        <f t="shared" si="42"/>
        <v>Yes</v>
      </c>
      <c r="W271" s="2" t="str">
        <f t="shared" si="43"/>
        <v>Regular</v>
      </c>
      <c r="X271" s="2" t="str">
        <f t="shared" si="44"/>
        <v>Discounted Bulk</v>
      </c>
    </row>
    <row r="272" spans="1:24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41</v>
      </c>
      <c r="F272" s="2" t="s">
        <v>17</v>
      </c>
      <c r="G272" s="2" t="s">
        <v>31</v>
      </c>
      <c r="H272" s="2" t="s">
        <v>26</v>
      </c>
      <c r="I272" s="2" t="s">
        <v>20</v>
      </c>
      <c r="J272" s="2" t="s">
        <v>67</v>
      </c>
      <c r="K272" s="2" t="s">
        <v>48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36"/>
        <v>7408.5300000000007</v>
      </c>
      <c r="Q272" s="2" t="str">
        <f t="shared" si="37"/>
        <v>No</v>
      </c>
      <c r="R272" s="2" t="str">
        <f t="shared" si="38"/>
        <v>No</v>
      </c>
      <c r="S272" s="2" t="str">
        <f t="shared" si="39"/>
        <v>No</v>
      </c>
      <c r="T272" s="2" t="str">
        <f t="shared" si="40"/>
        <v>Normal</v>
      </c>
      <c r="U272" s="2" t="str">
        <f t="shared" si="41"/>
        <v>No</v>
      </c>
      <c r="V272" s="2" t="str">
        <f t="shared" si="42"/>
        <v>No</v>
      </c>
      <c r="W272" s="2" t="str">
        <f t="shared" si="43"/>
        <v>Regular</v>
      </c>
      <c r="X272" s="2" t="str">
        <f t="shared" si="44"/>
        <v>Discounted Bulk</v>
      </c>
    </row>
    <row r="273" spans="1:24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23</v>
      </c>
      <c r="F273" s="2" t="s">
        <v>17</v>
      </c>
      <c r="G273" s="2" t="s">
        <v>18</v>
      </c>
      <c r="H273" s="2" t="s">
        <v>43</v>
      </c>
      <c r="I273" s="2" t="s">
        <v>32</v>
      </c>
      <c r="J273" s="2" t="s">
        <v>49</v>
      </c>
      <c r="K273" s="2" t="s">
        <v>48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36"/>
        <v>19078.29</v>
      </c>
      <c r="Q273" s="2" t="str">
        <f t="shared" si="37"/>
        <v>Yes</v>
      </c>
      <c r="R273" s="2" t="str">
        <f t="shared" si="38"/>
        <v>Yes</v>
      </c>
      <c r="S273" s="2" t="str">
        <f t="shared" si="39"/>
        <v>Yes</v>
      </c>
      <c r="T273" s="2" t="str">
        <f t="shared" si="40"/>
        <v>Normal</v>
      </c>
      <c r="U273" s="2" t="str">
        <f t="shared" si="41"/>
        <v>No</v>
      </c>
      <c r="V273" s="2" t="str">
        <f t="shared" si="42"/>
        <v>No</v>
      </c>
      <c r="W273" s="2" t="str">
        <f t="shared" si="43"/>
        <v>Regular</v>
      </c>
      <c r="X273" s="2" t="str">
        <f t="shared" si="44"/>
        <v>Non Discounted Bulk</v>
      </c>
    </row>
    <row r="274" spans="1:24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47</v>
      </c>
      <c r="F274" s="2" t="s">
        <v>55</v>
      </c>
      <c r="G274" s="2" t="s">
        <v>31</v>
      </c>
      <c r="H274" s="2" t="s">
        <v>19</v>
      </c>
      <c r="I274" s="2" t="s">
        <v>32</v>
      </c>
      <c r="J274" s="2" t="s">
        <v>40</v>
      </c>
      <c r="K274" s="2" t="s">
        <v>46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36"/>
        <v>2309.2799999999997</v>
      </c>
      <c r="Q274" s="2" t="str">
        <f t="shared" si="37"/>
        <v>No</v>
      </c>
      <c r="R274" s="2" t="str">
        <f t="shared" si="38"/>
        <v>No</v>
      </c>
      <c r="S274" s="2" t="str">
        <f t="shared" si="39"/>
        <v>No</v>
      </c>
      <c r="T274" s="2" t="str">
        <f t="shared" si="40"/>
        <v>Normal</v>
      </c>
      <c r="U274" s="2" t="str">
        <f t="shared" si="41"/>
        <v>No</v>
      </c>
      <c r="V274" s="2" t="str">
        <f t="shared" si="42"/>
        <v>No</v>
      </c>
      <c r="W274" s="2" t="str">
        <f t="shared" si="43"/>
        <v>Regular</v>
      </c>
      <c r="X274" s="2" t="str">
        <f t="shared" si="44"/>
        <v>Discounted Bulk</v>
      </c>
    </row>
    <row r="275" spans="1:24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38</v>
      </c>
      <c r="F275" s="2" t="s">
        <v>17</v>
      </c>
      <c r="G275" s="2" t="s">
        <v>25</v>
      </c>
      <c r="H275" s="2" t="s">
        <v>45</v>
      </c>
      <c r="I275" s="2" t="s">
        <v>53</v>
      </c>
      <c r="J275" s="2" t="s">
        <v>61</v>
      </c>
      <c r="K275" s="2" t="s">
        <v>34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36"/>
        <v>5032.6000000000004</v>
      </c>
      <c r="Q275" s="2" t="str">
        <f t="shared" si="37"/>
        <v>No</v>
      </c>
      <c r="R275" s="2" t="str">
        <f t="shared" si="38"/>
        <v>No</v>
      </c>
      <c r="S275" s="2" t="str">
        <f t="shared" si="39"/>
        <v>Yes</v>
      </c>
      <c r="T275" s="2" t="str">
        <f t="shared" si="40"/>
        <v>Normal</v>
      </c>
      <c r="U275" s="2" t="str">
        <f t="shared" si="41"/>
        <v>Yes</v>
      </c>
      <c r="V275" s="2" t="str">
        <f t="shared" si="42"/>
        <v>Yes</v>
      </c>
      <c r="W275" s="2" t="str">
        <f t="shared" si="43"/>
        <v>Regular</v>
      </c>
      <c r="X275" s="2" t="str">
        <f t="shared" si="44"/>
        <v>Discounted Bulk</v>
      </c>
    </row>
    <row r="276" spans="1:24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17</v>
      </c>
      <c r="F276" s="2" t="s">
        <v>55</v>
      </c>
      <c r="G276" s="2" t="s">
        <v>25</v>
      </c>
      <c r="H276" s="2" t="s">
        <v>26</v>
      </c>
      <c r="I276" s="2" t="s">
        <v>53</v>
      </c>
      <c r="J276" s="2" t="s">
        <v>65</v>
      </c>
      <c r="K276" s="2" t="s">
        <v>34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36"/>
        <v>3563.7000000000003</v>
      </c>
      <c r="Q276" s="2" t="str">
        <f t="shared" si="37"/>
        <v>No</v>
      </c>
      <c r="R276" s="2" t="str">
        <f t="shared" si="38"/>
        <v>No</v>
      </c>
      <c r="S276" s="2" t="str">
        <f t="shared" si="39"/>
        <v>Yes</v>
      </c>
      <c r="T276" s="2" t="str">
        <f t="shared" si="40"/>
        <v>Normal</v>
      </c>
      <c r="U276" s="2" t="str">
        <f t="shared" si="41"/>
        <v>Yes</v>
      </c>
      <c r="V276" s="2" t="str">
        <f t="shared" si="42"/>
        <v>Yes</v>
      </c>
      <c r="W276" s="2" t="str">
        <f t="shared" si="43"/>
        <v>Regular</v>
      </c>
      <c r="X276" s="2" t="str">
        <f t="shared" si="44"/>
        <v>Discounted Bulk</v>
      </c>
    </row>
    <row r="277" spans="1:24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23</v>
      </c>
      <c r="F277" s="2" t="s">
        <v>24</v>
      </c>
      <c r="G277" s="2" t="s">
        <v>25</v>
      </c>
      <c r="H277" s="2" t="s">
        <v>45</v>
      </c>
      <c r="I277" s="2" t="s">
        <v>53</v>
      </c>
      <c r="J277" s="2" t="s">
        <v>54</v>
      </c>
      <c r="K277" s="2" t="s">
        <v>48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36"/>
        <v>30885.759999999998</v>
      </c>
      <c r="Q277" s="2" t="str">
        <f t="shared" si="37"/>
        <v>Yes</v>
      </c>
      <c r="R277" s="2" t="str">
        <f t="shared" si="38"/>
        <v>Yes</v>
      </c>
      <c r="S277" s="2" t="str">
        <f t="shared" si="39"/>
        <v>Yes</v>
      </c>
      <c r="T277" s="2" t="str">
        <f t="shared" si="40"/>
        <v>Normal</v>
      </c>
      <c r="U277" s="2" t="str">
        <f t="shared" si="41"/>
        <v>Yes</v>
      </c>
      <c r="V277" s="2" t="str">
        <f t="shared" si="42"/>
        <v>Yes</v>
      </c>
      <c r="W277" s="2" t="str">
        <f t="shared" si="43"/>
        <v>Premium</v>
      </c>
      <c r="X277" s="2" t="str">
        <f t="shared" si="44"/>
        <v>Non Discounted Bulk</v>
      </c>
    </row>
    <row r="278" spans="1:24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41</v>
      </c>
      <c r="F278" s="2" t="s">
        <v>42</v>
      </c>
      <c r="G278" s="2" t="s">
        <v>31</v>
      </c>
      <c r="H278" s="2" t="s">
        <v>19</v>
      </c>
      <c r="I278" s="2" t="s">
        <v>27</v>
      </c>
      <c r="J278" s="2" t="s">
        <v>70</v>
      </c>
      <c r="K278" s="2" t="s">
        <v>46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36"/>
        <v>6030.5399999999991</v>
      </c>
      <c r="Q278" s="2" t="str">
        <f t="shared" si="37"/>
        <v>No</v>
      </c>
      <c r="R278" s="2" t="str">
        <f t="shared" si="38"/>
        <v>Yes</v>
      </c>
      <c r="S278" s="2" t="str">
        <f t="shared" si="39"/>
        <v>No</v>
      </c>
      <c r="T278" s="2" t="str">
        <f t="shared" si="40"/>
        <v>Normal</v>
      </c>
      <c r="U278" s="2" t="str">
        <f t="shared" si="41"/>
        <v>No</v>
      </c>
      <c r="V278" s="2" t="str">
        <f t="shared" si="42"/>
        <v>No</v>
      </c>
      <c r="W278" s="2" t="str">
        <f t="shared" si="43"/>
        <v>Regular</v>
      </c>
      <c r="X278" s="2" t="str">
        <f t="shared" si="44"/>
        <v>Non Discounted Bulk</v>
      </c>
    </row>
    <row r="279" spans="1:24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47</v>
      </c>
      <c r="F279" s="2" t="s">
        <v>55</v>
      </c>
      <c r="G279" s="2" t="s">
        <v>18</v>
      </c>
      <c r="H279" s="2" t="s">
        <v>19</v>
      </c>
      <c r="I279" s="2" t="s">
        <v>20</v>
      </c>
      <c r="J279" s="2" t="s">
        <v>44</v>
      </c>
      <c r="K279" s="2" t="s">
        <v>46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36"/>
        <v>4406.04</v>
      </c>
      <c r="Q279" s="2" t="str">
        <f t="shared" si="37"/>
        <v>No</v>
      </c>
      <c r="R279" s="2" t="str">
        <f t="shared" si="38"/>
        <v>No</v>
      </c>
      <c r="S279" s="2" t="str">
        <f t="shared" si="39"/>
        <v>Yes</v>
      </c>
      <c r="T279" s="2" t="str">
        <f t="shared" si="40"/>
        <v>Normal</v>
      </c>
      <c r="U279" s="2" t="str">
        <f t="shared" si="41"/>
        <v>No</v>
      </c>
      <c r="V279" s="2" t="str">
        <f t="shared" si="42"/>
        <v>No</v>
      </c>
      <c r="W279" s="2" t="str">
        <f t="shared" si="43"/>
        <v>Regular</v>
      </c>
      <c r="X279" s="2" t="str">
        <f t="shared" si="44"/>
        <v>Discounted Bulk</v>
      </c>
    </row>
    <row r="280" spans="1:24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35</v>
      </c>
      <c r="F280" s="2" t="s">
        <v>30</v>
      </c>
      <c r="G280" s="2" t="s">
        <v>25</v>
      </c>
      <c r="H280" s="2" t="s">
        <v>36</v>
      </c>
      <c r="I280" s="2" t="s">
        <v>53</v>
      </c>
      <c r="J280" s="2" t="s">
        <v>61</v>
      </c>
      <c r="K280" s="2" t="s">
        <v>29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36"/>
        <v>21449.22</v>
      </c>
      <c r="Q280" s="2" t="str">
        <f t="shared" si="37"/>
        <v>Yes</v>
      </c>
      <c r="R280" s="2" t="str">
        <f t="shared" si="38"/>
        <v>No</v>
      </c>
      <c r="S280" s="2" t="str">
        <f t="shared" si="39"/>
        <v>Yes</v>
      </c>
      <c r="T280" s="2" t="str">
        <f t="shared" si="40"/>
        <v>Normal</v>
      </c>
      <c r="U280" s="2" t="str">
        <f t="shared" si="41"/>
        <v>Yes</v>
      </c>
      <c r="V280" s="2" t="str">
        <f t="shared" si="42"/>
        <v>Yes</v>
      </c>
      <c r="W280" s="2" t="str">
        <f t="shared" si="43"/>
        <v>Premium</v>
      </c>
      <c r="X280" s="2" t="str">
        <f t="shared" si="44"/>
        <v>Discounted Bulk</v>
      </c>
    </row>
    <row r="281" spans="1:24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47</v>
      </c>
      <c r="F281" s="2" t="s">
        <v>42</v>
      </c>
      <c r="G281" s="2" t="s">
        <v>25</v>
      </c>
      <c r="H281" s="2" t="s">
        <v>19</v>
      </c>
      <c r="I281" s="2" t="s">
        <v>50</v>
      </c>
      <c r="J281" s="2" t="s">
        <v>69</v>
      </c>
      <c r="K281" s="2" t="s">
        <v>34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36"/>
        <v>30272.959999999999</v>
      </c>
      <c r="Q281" s="2" t="str">
        <f t="shared" si="37"/>
        <v>Yes</v>
      </c>
      <c r="R281" s="2" t="str">
        <f t="shared" si="38"/>
        <v>Yes</v>
      </c>
      <c r="S281" s="2" t="str">
        <f t="shared" si="39"/>
        <v>Yes</v>
      </c>
      <c r="T281" s="2" t="str">
        <f t="shared" si="40"/>
        <v>Normal</v>
      </c>
      <c r="U281" s="2" t="str">
        <f t="shared" si="41"/>
        <v>Yes</v>
      </c>
      <c r="V281" s="2" t="str">
        <f t="shared" si="42"/>
        <v>Yes</v>
      </c>
      <c r="W281" s="2" t="str">
        <f t="shared" si="43"/>
        <v>Premium</v>
      </c>
      <c r="X281" s="2" t="str">
        <f t="shared" si="44"/>
        <v>Non Discounted Bulk</v>
      </c>
    </row>
    <row r="282" spans="1:24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47</v>
      </c>
      <c r="F282" s="2" t="s">
        <v>55</v>
      </c>
      <c r="G282" s="2" t="s">
        <v>31</v>
      </c>
      <c r="H282" s="2" t="s">
        <v>45</v>
      </c>
      <c r="I282" s="2" t="s">
        <v>27</v>
      </c>
      <c r="J282" s="2" t="s">
        <v>70</v>
      </c>
      <c r="K282" s="2" t="s">
        <v>22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36"/>
        <v>15492.2</v>
      </c>
      <c r="Q282" s="2" t="str">
        <f t="shared" si="37"/>
        <v>Yes</v>
      </c>
      <c r="R282" s="2" t="str">
        <f t="shared" si="38"/>
        <v>No</v>
      </c>
      <c r="S282" s="2" t="str">
        <f t="shared" si="39"/>
        <v>No</v>
      </c>
      <c r="T282" s="2" t="str">
        <f t="shared" si="40"/>
        <v>Normal</v>
      </c>
      <c r="U282" s="2" t="str">
        <f t="shared" si="41"/>
        <v>No</v>
      </c>
      <c r="V282" s="2" t="str">
        <f t="shared" si="42"/>
        <v>No</v>
      </c>
      <c r="W282" s="2" t="str">
        <f t="shared" si="43"/>
        <v>Regular</v>
      </c>
      <c r="X282" s="2" t="str">
        <f t="shared" si="44"/>
        <v>Discounted Bulk</v>
      </c>
    </row>
    <row r="283" spans="1:24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38</v>
      </c>
      <c r="F283" s="2" t="s">
        <v>42</v>
      </c>
      <c r="G283" s="2" t="s">
        <v>18</v>
      </c>
      <c r="H283" s="2" t="s">
        <v>43</v>
      </c>
      <c r="I283" s="2" t="s">
        <v>58</v>
      </c>
      <c r="J283" s="2" t="s">
        <v>68</v>
      </c>
      <c r="K283" s="2" t="s">
        <v>34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36"/>
        <v>512.43000000000006</v>
      </c>
      <c r="Q283" s="2" t="str">
        <f t="shared" si="37"/>
        <v>No</v>
      </c>
      <c r="R283" s="2" t="str">
        <f t="shared" si="38"/>
        <v>No</v>
      </c>
      <c r="S283" s="2" t="str">
        <f t="shared" si="39"/>
        <v>Yes</v>
      </c>
      <c r="T283" s="2" t="str">
        <f t="shared" si="40"/>
        <v>Normal</v>
      </c>
      <c r="U283" s="2" t="str">
        <f t="shared" si="41"/>
        <v>No</v>
      </c>
      <c r="V283" s="2" t="str">
        <f t="shared" si="42"/>
        <v>No</v>
      </c>
      <c r="W283" s="2" t="str">
        <f t="shared" si="43"/>
        <v>Regular</v>
      </c>
      <c r="X283" s="2" t="str">
        <f t="shared" si="44"/>
        <v>Discounted Bulk</v>
      </c>
    </row>
    <row r="284" spans="1:24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17</v>
      </c>
      <c r="F284" s="2" t="s">
        <v>42</v>
      </c>
      <c r="G284" s="2" t="s">
        <v>31</v>
      </c>
      <c r="H284" s="2" t="s">
        <v>43</v>
      </c>
      <c r="I284" s="2" t="s">
        <v>50</v>
      </c>
      <c r="J284" s="2" t="s">
        <v>64</v>
      </c>
      <c r="K284" s="2" t="s">
        <v>34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36"/>
        <v>465.54</v>
      </c>
      <c r="Q284" s="2" t="str">
        <f t="shared" si="37"/>
        <v>No</v>
      </c>
      <c r="R284" s="2" t="str">
        <f t="shared" si="38"/>
        <v>No</v>
      </c>
      <c r="S284" s="2" t="str">
        <f t="shared" si="39"/>
        <v>No</v>
      </c>
      <c r="T284" s="2" t="str">
        <f t="shared" si="40"/>
        <v>Normal</v>
      </c>
      <c r="U284" s="2" t="str">
        <f t="shared" si="41"/>
        <v>No</v>
      </c>
      <c r="V284" s="2" t="str">
        <f t="shared" si="42"/>
        <v>No</v>
      </c>
      <c r="W284" s="2" t="str">
        <f t="shared" si="43"/>
        <v>Regular</v>
      </c>
      <c r="X284" s="2" t="str">
        <f t="shared" si="44"/>
        <v>Discounted Bulk</v>
      </c>
    </row>
    <row r="285" spans="1:24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35</v>
      </c>
      <c r="F285" s="2" t="s">
        <v>42</v>
      </c>
      <c r="G285" s="2" t="s">
        <v>25</v>
      </c>
      <c r="H285" s="2" t="s">
        <v>36</v>
      </c>
      <c r="I285" s="2" t="s">
        <v>50</v>
      </c>
      <c r="J285" s="2" t="s">
        <v>52</v>
      </c>
      <c r="K285" s="2" t="s">
        <v>29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36"/>
        <v>9634.14</v>
      </c>
      <c r="Q285" s="2" t="str">
        <f t="shared" si="37"/>
        <v>No</v>
      </c>
      <c r="R285" s="2" t="str">
        <f t="shared" si="38"/>
        <v>No</v>
      </c>
      <c r="S285" s="2" t="str">
        <f t="shared" si="39"/>
        <v>Yes</v>
      </c>
      <c r="T285" s="2" t="str">
        <f t="shared" si="40"/>
        <v>Normal</v>
      </c>
      <c r="U285" s="2" t="str">
        <f t="shared" si="41"/>
        <v>Yes</v>
      </c>
      <c r="V285" s="2" t="str">
        <f t="shared" si="42"/>
        <v>Yes</v>
      </c>
      <c r="W285" s="2" t="str">
        <f t="shared" si="43"/>
        <v>Regular</v>
      </c>
      <c r="X285" s="2" t="str">
        <f t="shared" si="44"/>
        <v>Discounted Bulk</v>
      </c>
    </row>
    <row r="286" spans="1:24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16</v>
      </c>
      <c r="F286" s="2" t="s">
        <v>24</v>
      </c>
      <c r="G286" s="2" t="s">
        <v>18</v>
      </c>
      <c r="H286" s="2" t="s">
        <v>45</v>
      </c>
      <c r="I286" s="2" t="s">
        <v>53</v>
      </c>
      <c r="J286" s="2" t="s">
        <v>57</v>
      </c>
      <c r="K286" s="2" t="s">
        <v>22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36"/>
        <v>1404.14</v>
      </c>
      <c r="Q286" s="2" t="str">
        <f t="shared" si="37"/>
        <v>No</v>
      </c>
      <c r="R286" s="2" t="str">
        <f t="shared" si="38"/>
        <v>No</v>
      </c>
      <c r="S286" s="2" t="str">
        <f t="shared" si="39"/>
        <v>Yes</v>
      </c>
      <c r="T286" s="2" t="str">
        <f t="shared" si="40"/>
        <v>Normal</v>
      </c>
      <c r="U286" s="2" t="str">
        <f t="shared" si="41"/>
        <v>No</v>
      </c>
      <c r="V286" s="2" t="str">
        <f t="shared" si="42"/>
        <v>No</v>
      </c>
      <c r="W286" s="2" t="str">
        <f t="shared" si="43"/>
        <v>Regular</v>
      </c>
      <c r="X286" s="2" t="str">
        <f t="shared" si="44"/>
        <v>Discounted Bulk</v>
      </c>
    </row>
    <row r="287" spans="1:24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16</v>
      </c>
      <c r="F287" s="2" t="s">
        <v>30</v>
      </c>
      <c r="G287" s="2" t="s">
        <v>18</v>
      </c>
      <c r="H287" s="2" t="s">
        <v>45</v>
      </c>
      <c r="I287" s="2" t="s">
        <v>58</v>
      </c>
      <c r="J287" s="2" t="s">
        <v>59</v>
      </c>
      <c r="K287" s="2" t="s">
        <v>29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36"/>
        <v>1324.74</v>
      </c>
      <c r="Q287" s="2" t="str">
        <f t="shared" si="37"/>
        <v>No</v>
      </c>
      <c r="R287" s="2" t="str">
        <f t="shared" si="38"/>
        <v>No</v>
      </c>
      <c r="S287" s="2" t="str">
        <f t="shared" si="39"/>
        <v>Yes</v>
      </c>
      <c r="T287" s="2" t="str">
        <f t="shared" si="40"/>
        <v>Normal</v>
      </c>
      <c r="U287" s="2" t="str">
        <f t="shared" si="41"/>
        <v>No</v>
      </c>
      <c r="V287" s="2" t="str">
        <f t="shared" si="42"/>
        <v>No</v>
      </c>
      <c r="W287" s="2" t="str">
        <f t="shared" si="43"/>
        <v>Regular</v>
      </c>
      <c r="X287" s="2" t="str">
        <f t="shared" si="44"/>
        <v>Discounted Bulk</v>
      </c>
    </row>
    <row r="288" spans="1:24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23</v>
      </c>
      <c r="F288" s="2" t="s">
        <v>39</v>
      </c>
      <c r="G288" s="2" t="s">
        <v>25</v>
      </c>
      <c r="H288" s="2" t="s">
        <v>19</v>
      </c>
      <c r="I288" s="2" t="s">
        <v>58</v>
      </c>
      <c r="J288" s="2" t="s">
        <v>68</v>
      </c>
      <c r="K288" s="2" t="s">
        <v>22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36"/>
        <v>11619.960000000001</v>
      </c>
      <c r="Q288" s="2" t="str">
        <f t="shared" si="37"/>
        <v>Yes</v>
      </c>
      <c r="R288" s="2" t="str">
        <f t="shared" si="38"/>
        <v>No</v>
      </c>
      <c r="S288" s="2" t="str">
        <f t="shared" si="39"/>
        <v>Yes</v>
      </c>
      <c r="T288" s="2" t="str">
        <f t="shared" si="40"/>
        <v>Normal</v>
      </c>
      <c r="U288" s="2" t="str">
        <f t="shared" si="41"/>
        <v>Yes</v>
      </c>
      <c r="V288" s="2" t="str">
        <f t="shared" si="42"/>
        <v>Yes</v>
      </c>
      <c r="W288" s="2" t="str">
        <f t="shared" si="43"/>
        <v>Regular</v>
      </c>
      <c r="X288" s="2" t="str">
        <f t="shared" si="44"/>
        <v>Discounted Bulk</v>
      </c>
    </row>
    <row r="289" spans="1:24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47</v>
      </c>
      <c r="F289" s="2" t="s">
        <v>39</v>
      </c>
      <c r="G289" s="2" t="s">
        <v>18</v>
      </c>
      <c r="H289" s="2" t="s">
        <v>45</v>
      </c>
      <c r="I289" s="2" t="s">
        <v>27</v>
      </c>
      <c r="J289" s="2" t="s">
        <v>37</v>
      </c>
      <c r="K289" s="2" t="s">
        <v>48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36"/>
        <v>30246.32</v>
      </c>
      <c r="Q289" s="2" t="str">
        <f t="shared" si="37"/>
        <v>Yes</v>
      </c>
      <c r="R289" s="2" t="str">
        <f t="shared" si="38"/>
        <v>No</v>
      </c>
      <c r="S289" s="2" t="str">
        <f t="shared" si="39"/>
        <v>Yes</v>
      </c>
      <c r="T289" s="2" t="str">
        <f t="shared" si="40"/>
        <v>Normal</v>
      </c>
      <c r="U289" s="2" t="str">
        <f t="shared" si="41"/>
        <v>No</v>
      </c>
      <c r="V289" s="2" t="str">
        <f t="shared" si="42"/>
        <v>No</v>
      </c>
      <c r="W289" s="2" t="str">
        <f t="shared" si="43"/>
        <v>Regular</v>
      </c>
      <c r="X289" s="2" t="str">
        <f t="shared" si="44"/>
        <v>Non Discounted Bulk</v>
      </c>
    </row>
    <row r="290" spans="1:24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38</v>
      </c>
      <c r="F290" s="2" t="s">
        <v>55</v>
      </c>
      <c r="G290" s="2" t="s">
        <v>18</v>
      </c>
      <c r="H290" s="2" t="s">
        <v>26</v>
      </c>
      <c r="I290" s="2" t="s">
        <v>58</v>
      </c>
      <c r="J290" s="2" t="s">
        <v>59</v>
      </c>
      <c r="K290" s="2" t="s">
        <v>22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36"/>
        <v>9776.9700000000012</v>
      </c>
      <c r="Q290" s="2" t="str">
        <f t="shared" si="37"/>
        <v>No</v>
      </c>
      <c r="R290" s="2" t="str">
        <f t="shared" si="38"/>
        <v>No</v>
      </c>
      <c r="S290" s="2" t="str">
        <f t="shared" si="39"/>
        <v>Yes</v>
      </c>
      <c r="T290" s="2" t="str">
        <f t="shared" si="40"/>
        <v>Normal</v>
      </c>
      <c r="U290" s="2" t="str">
        <f t="shared" si="41"/>
        <v>No</v>
      </c>
      <c r="V290" s="2" t="str">
        <f t="shared" si="42"/>
        <v>No</v>
      </c>
      <c r="W290" s="2" t="str">
        <f t="shared" si="43"/>
        <v>Regular</v>
      </c>
      <c r="X290" s="2" t="str">
        <f t="shared" si="44"/>
        <v>Discounted Bulk</v>
      </c>
    </row>
    <row r="291" spans="1:24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38</v>
      </c>
      <c r="F291" s="2" t="s">
        <v>42</v>
      </c>
      <c r="G291" s="2" t="s">
        <v>31</v>
      </c>
      <c r="H291" s="2" t="s">
        <v>19</v>
      </c>
      <c r="I291" s="2" t="s">
        <v>20</v>
      </c>
      <c r="J291" s="2" t="s">
        <v>21</v>
      </c>
      <c r="K291" s="2" t="s">
        <v>29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36"/>
        <v>21563.119999999999</v>
      </c>
      <c r="Q291" s="2" t="str">
        <f t="shared" si="37"/>
        <v>Yes</v>
      </c>
      <c r="R291" s="2" t="str">
        <f t="shared" si="38"/>
        <v>Yes</v>
      </c>
      <c r="S291" s="2" t="str">
        <f t="shared" si="39"/>
        <v>No</v>
      </c>
      <c r="T291" s="2" t="str">
        <f t="shared" si="40"/>
        <v>Normal</v>
      </c>
      <c r="U291" s="2" t="str">
        <f t="shared" si="41"/>
        <v>No</v>
      </c>
      <c r="V291" s="2" t="str">
        <f t="shared" si="42"/>
        <v>No</v>
      </c>
      <c r="W291" s="2" t="str">
        <f t="shared" si="43"/>
        <v>Regular</v>
      </c>
      <c r="X291" s="2" t="str">
        <f t="shared" si="44"/>
        <v>Non Discounted Bulk</v>
      </c>
    </row>
    <row r="292" spans="1:24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16</v>
      </c>
      <c r="F292" s="2" t="s">
        <v>55</v>
      </c>
      <c r="G292" s="2" t="s">
        <v>25</v>
      </c>
      <c r="H292" s="2" t="s">
        <v>26</v>
      </c>
      <c r="I292" s="2" t="s">
        <v>53</v>
      </c>
      <c r="J292" s="2" t="s">
        <v>54</v>
      </c>
      <c r="K292" s="2" t="s">
        <v>34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36"/>
        <v>23949.99</v>
      </c>
      <c r="Q292" s="2" t="str">
        <f t="shared" si="37"/>
        <v>Yes</v>
      </c>
      <c r="R292" s="2" t="str">
        <f t="shared" si="38"/>
        <v>Yes</v>
      </c>
      <c r="S292" s="2" t="str">
        <f t="shared" si="39"/>
        <v>Yes</v>
      </c>
      <c r="T292" s="2" t="str">
        <f t="shared" si="40"/>
        <v>Normal</v>
      </c>
      <c r="U292" s="2" t="str">
        <f t="shared" si="41"/>
        <v>Yes</v>
      </c>
      <c r="V292" s="2" t="str">
        <f t="shared" si="42"/>
        <v>Yes</v>
      </c>
      <c r="W292" s="2" t="str">
        <f t="shared" si="43"/>
        <v>Premium</v>
      </c>
      <c r="X292" s="2" t="str">
        <f t="shared" si="44"/>
        <v>Non Discounted Bulk</v>
      </c>
    </row>
    <row r="293" spans="1:24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23</v>
      </c>
      <c r="F293" s="2" t="s">
        <v>24</v>
      </c>
      <c r="G293" s="2" t="s">
        <v>25</v>
      </c>
      <c r="H293" s="2" t="s">
        <v>36</v>
      </c>
      <c r="I293" s="2" t="s">
        <v>58</v>
      </c>
      <c r="J293" s="2" t="s">
        <v>68</v>
      </c>
      <c r="K293" s="2" t="s">
        <v>22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36"/>
        <v>6699.9600000000009</v>
      </c>
      <c r="Q293" s="2" t="str">
        <f t="shared" si="37"/>
        <v>No</v>
      </c>
      <c r="R293" s="2" t="str">
        <f t="shared" si="38"/>
        <v>No</v>
      </c>
      <c r="S293" s="2" t="str">
        <f t="shared" si="39"/>
        <v>Yes</v>
      </c>
      <c r="T293" s="2" t="str">
        <f t="shared" si="40"/>
        <v>Normal</v>
      </c>
      <c r="U293" s="2" t="str">
        <f t="shared" si="41"/>
        <v>Yes</v>
      </c>
      <c r="V293" s="2" t="str">
        <f t="shared" si="42"/>
        <v>Yes</v>
      </c>
      <c r="W293" s="2" t="str">
        <f t="shared" si="43"/>
        <v>Regular</v>
      </c>
      <c r="X293" s="2" t="str">
        <f t="shared" si="44"/>
        <v>Discounted Bulk</v>
      </c>
    </row>
    <row r="294" spans="1:24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23</v>
      </c>
      <c r="F294" s="2" t="s">
        <v>24</v>
      </c>
      <c r="G294" s="2" t="s">
        <v>25</v>
      </c>
      <c r="H294" s="2" t="s">
        <v>43</v>
      </c>
      <c r="I294" s="2" t="s">
        <v>27</v>
      </c>
      <c r="J294" s="2" t="s">
        <v>28</v>
      </c>
      <c r="K294" s="2" t="s">
        <v>22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36"/>
        <v>7962.42</v>
      </c>
      <c r="Q294" s="2" t="str">
        <f t="shared" si="37"/>
        <v>No</v>
      </c>
      <c r="R294" s="2" t="str">
        <f t="shared" si="38"/>
        <v>No</v>
      </c>
      <c r="S294" s="2" t="str">
        <f t="shared" si="39"/>
        <v>Yes</v>
      </c>
      <c r="T294" s="2" t="str">
        <f t="shared" si="40"/>
        <v>Normal</v>
      </c>
      <c r="U294" s="2" t="str">
        <f t="shared" si="41"/>
        <v>Yes</v>
      </c>
      <c r="V294" s="2" t="str">
        <f t="shared" si="42"/>
        <v>Yes</v>
      </c>
      <c r="W294" s="2" t="str">
        <f t="shared" si="43"/>
        <v>Regular</v>
      </c>
      <c r="X294" s="2" t="str">
        <f t="shared" si="44"/>
        <v>Discounted Bulk</v>
      </c>
    </row>
    <row r="295" spans="1:24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23</v>
      </c>
      <c r="F295" s="2" t="s">
        <v>17</v>
      </c>
      <c r="G295" s="2" t="s">
        <v>25</v>
      </c>
      <c r="H295" s="2" t="s">
        <v>36</v>
      </c>
      <c r="I295" s="2" t="s">
        <v>20</v>
      </c>
      <c r="J295" s="2" t="s">
        <v>44</v>
      </c>
      <c r="K295" s="2" t="s">
        <v>46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36"/>
        <v>2902.4700000000003</v>
      </c>
      <c r="Q295" s="2" t="str">
        <f t="shared" si="37"/>
        <v>No</v>
      </c>
      <c r="R295" s="2" t="str">
        <f t="shared" si="38"/>
        <v>No</v>
      </c>
      <c r="S295" s="2" t="str">
        <f t="shared" si="39"/>
        <v>Yes</v>
      </c>
      <c r="T295" s="2" t="str">
        <f t="shared" si="40"/>
        <v>Normal</v>
      </c>
      <c r="U295" s="2" t="str">
        <f t="shared" si="41"/>
        <v>Yes</v>
      </c>
      <c r="V295" s="2" t="str">
        <f t="shared" si="42"/>
        <v>Yes</v>
      </c>
      <c r="W295" s="2" t="str">
        <f t="shared" si="43"/>
        <v>Regular</v>
      </c>
      <c r="X295" s="2" t="str">
        <f t="shared" si="44"/>
        <v>Discounted Bulk</v>
      </c>
    </row>
    <row r="296" spans="1:24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35</v>
      </c>
      <c r="F296" s="2" t="s">
        <v>24</v>
      </c>
      <c r="G296" s="2" t="s">
        <v>25</v>
      </c>
      <c r="H296" s="2" t="s">
        <v>43</v>
      </c>
      <c r="I296" s="2" t="s">
        <v>32</v>
      </c>
      <c r="J296" s="2" t="s">
        <v>49</v>
      </c>
      <c r="K296" s="2" t="s">
        <v>34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36"/>
        <v>619.73</v>
      </c>
      <c r="Q296" s="2" t="str">
        <f t="shared" si="37"/>
        <v>No</v>
      </c>
      <c r="R296" s="2" t="str">
        <f t="shared" si="38"/>
        <v>No</v>
      </c>
      <c r="S296" s="2" t="str">
        <f t="shared" si="39"/>
        <v>Yes</v>
      </c>
      <c r="T296" s="2" t="str">
        <f t="shared" si="40"/>
        <v>Special Attention</v>
      </c>
      <c r="U296" s="2" t="str">
        <f t="shared" si="41"/>
        <v>Yes</v>
      </c>
      <c r="V296" s="2" t="str">
        <f t="shared" si="42"/>
        <v>Yes</v>
      </c>
      <c r="W296" s="2" t="str">
        <f t="shared" si="43"/>
        <v>Regular</v>
      </c>
      <c r="X296" s="2" t="str">
        <f t="shared" si="44"/>
        <v>Discounted Bulk</v>
      </c>
    </row>
    <row r="297" spans="1:24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17</v>
      </c>
      <c r="F297" s="2" t="s">
        <v>17</v>
      </c>
      <c r="G297" s="2" t="s">
        <v>18</v>
      </c>
      <c r="H297" s="2" t="s">
        <v>36</v>
      </c>
      <c r="I297" s="2" t="s">
        <v>32</v>
      </c>
      <c r="J297" s="2" t="s">
        <v>49</v>
      </c>
      <c r="K297" s="2" t="s">
        <v>48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36"/>
        <v>14251.65</v>
      </c>
      <c r="Q297" s="2" t="str">
        <f t="shared" si="37"/>
        <v>Yes</v>
      </c>
      <c r="R297" s="2" t="str">
        <f t="shared" si="38"/>
        <v>No</v>
      </c>
      <c r="S297" s="2" t="str">
        <f t="shared" si="39"/>
        <v>Yes</v>
      </c>
      <c r="T297" s="2" t="str">
        <f t="shared" si="40"/>
        <v>Normal</v>
      </c>
      <c r="U297" s="2" t="str">
        <f t="shared" si="41"/>
        <v>No</v>
      </c>
      <c r="V297" s="2" t="str">
        <f t="shared" si="42"/>
        <v>No</v>
      </c>
      <c r="W297" s="2" t="str">
        <f t="shared" si="43"/>
        <v>Regular</v>
      </c>
      <c r="X297" s="2" t="str">
        <f t="shared" si="44"/>
        <v>Discounted Bulk</v>
      </c>
    </row>
    <row r="298" spans="1:24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35</v>
      </c>
      <c r="F298" s="2" t="s">
        <v>30</v>
      </c>
      <c r="G298" s="2" t="s">
        <v>31</v>
      </c>
      <c r="H298" s="2" t="s">
        <v>45</v>
      </c>
      <c r="I298" s="2" t="s">
        <v>20</v>
      </c>
      <c r="J298" s="2" t="s">
        <v>21</v>
      </c>
      <c r="K298" s="2" t="s">
        <v>29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36"/>
        <v>2347</v>
      </c>
      <c r="Q298" s="2" t="str">
        <f t="shared" si="37"/>
        <v>No</v>
      </c>
      <c r="R298" s="2" t="str">
        <f t="shared" si="38"/>
        <v>No</v>
      </c>
      <c r="S298" s="2" t="str">
        <f t="shared" si="39"/>
        <v>No</v>
      </c>
      <c r="T298" s="2" t="str">
        <f t="shared" si="40"/>
        <v>Normal</v>
      </c>
      <c r="U298" s="2" t="str">
        <f t="shared" si="41"/>
        <v>No</v>
      </c>
      <c r="V298" s="2" t="str">
        <f t="shared" si="42"/>
        <v>No</v>
      </c>
      <c r="W298" s="2" t="str">
        <f t="shared" si="43"/>
        <v>Regular</v>
      </c>
      <c r="X298" s="2" t="str">
        <f t="shared" si="44"/>
        <v>Discounted Bulk</v>
      </c>
    </row>
    <row r="299" spans="1:24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41</v>
      </c>
      <c r="F299" s="2" t="s">
        <v>55</v>
      </c>
      <c r="G299" s="2" t="s">
        <v>25</v>
      </c>
      <c r="H299" s="2" t="s">
        <v>26</v>
      </c>
      <c r="I299" s="2" t="s">
        <v>27</v>
      </c>
      <c r="J299" s="2" t="s">
        <v>37</v>
      </c>
      <c r="K299" s="2" t="s">
        <v>48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36"/>
        <v>35892.9</v>
      </c>
      <c r="Q299" s="2" t="str">
        <f t="shared" si="37"/>
        <v>Yes</v>
      </c>
      <c r="R299" s="2" t="str">
        <f t="shared" si="38"/>
        <v>No</v>
      </c>
      <c r="S299" s="2" t="str">
        <f t="shared" si="39"/>
        <v>Yes</v>
      </c>
      <c r="T299" s="2" t="str">
        <f t="shared" si="40"/>
        <v>Normal</v>
      </c>
      <c r="U299" s="2" t="str">
        <f t="shared" si="41"/>
        <v>Yes</v>
      </c>
      <c r="V299" s="2" t="str">
        <f t="shared" si="42"/>
        <v>Yes</v>
      </c>
      <c r="W299" s="2" t="str">
        <f t="shared" si="43"/>
        <v>Regular</v>
      </c>
      <c r="X299" s="2" t="str">
        <f t="shared" si="44"/>
        <v>Discounted Bulk</v>
      </c>
    </row>
    <row r="300" spans="1:24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41</v>
      </c>
      <c r="F300" s="2" t="s">
        <v>30</v>
      </c>
      <c r="G300" s="2" t="s">
        <v>31</v>
      </c>
      <c r="H300" s="2" t="s">
        <v>43</v>
      </c>
      <c r="I300" s="2" t="s">
        <v>20</v>
      </c>
      <c r="J300" s="2" t="s">
        <v>44</v>
      </c>
      <c r="K300" s="2" t="s">
        <v>34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36"/>
        <v>7706.61</v>
      </c>
      <c r="Q300" s="2" t="str">
        <f t="shared" si="37"/>
        <v>No</v>
      </c>
      <c r="R300" s="2" t="str">
        <f t="shared" si="38"/>
        <v>No</v>
      </c>
      <c r="S300" s="2" t="str">
        <f t="shared" si="39"/>
        <v>No</v>
      </c>
      <c r="T300" s="2" t="str">
        <f t="shared" si="40"/>
        <v>Normal</v>
      </c>
      <c r="U300" s="2" t="str">
        <f t="shared" si="41"/>
        <v>No</v>
      </c>
      <c r="V300" s="2" t="str">
        <f t="shared" si="42"/>
        <v>No</v>
      </c>
      <c r="W300" s="2" t="str">
        <f t="shared" si="43"/>
        <v>Regular</v>
      </c>
      <c r="X300" s="2" t="str">
        <f t="shared" si="44"/>
        <v>Non Discounted Bulk</v>
      </c>
    </row>
    <row r="301" spans="1:24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17</v>
      </c>
      <c r="F301" s="2" t="s">
        <v>24</v>
      </c>
      <c r="G301" s="2" t="s">
        <v>31</v>
      </c>
      <c r="H301" s="2" t="s">
        <v>19</v>
      </c>
      <c r="I301" s="2" t="s">
        <v>53</v>
      </c>
      <c r="J301" s="2" t="s">
        <v>54</v>
      </c>
      <c r="K301" s="2" t="s">
        <v>22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36"/>
        <v>12187.25</v>
      </c>
      <c r="Q301" s="2" t="str">
        <f t="shared" si="37"/>
        <v>Yes</v>
      </c>
      <c r="R301" s="2" t="str">
        <f t="shared" si="38"/>
        <v>No</v>
      </c>
      <c r="S301" s="2" t="str">
        <f t="shared" si="39"/>
        <v>No</v>
      </c>
      <c r="T301" s="2" t="str">
        <f t="shared" si="40"/>
        <v>Normal</v>
      </c>
      <c r="U301" s="2" t="str">
        <f t="shared" si="41"/>
        <v>No</v>
      </c>
      <c r="V301" s="2" t="str">
        <f t="shared" si="42"/>
        <v>No</v>
      </c>
      <c r="W301" s="2" t="str">
        <f t="shared" si="43"/>
        <v>Regular</v>
      </c>
      <c r="X301" s="2" t="str">
        <f t="shared" si="44"/>
        <v>Discounted Bulk</v>
      </c>
    </row>
    <row r="302" spans="1:24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16</v>
      </c>
      <c r="F302" s="2" t="s">
        <v>30</v>
      </c>
      <c r="G302" s="2" t="s">
        <v>18</v>
      </c>
      <c r="H302" s="2" t="s">
        <v>26</v>
      </c>
      <c r="I302" s="2" t="s">
        <v>53</v>
      </c>
      <c r="J302" s="2" t="s">
        <v>54</v>
      </c>
      <c r="K302" s="2" t="s">
        <v>22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36"/>
        <v>6935.16</v>
      </c>
      <c r="Q302" s="2" t="str">
        <f t="shared" si="37"/>
        <v>No</v>
      </c>
      <c r="R302" s="2" t="str">
        <f t="shared" si="38"/>
        <v>No</v>
      </c>
      <c r="S302" s="2" t="str">
        <f t="shared" si="39"/>
        <v>Yes</v>
      </c>
      <c r="T302" s="2" t="str">
        <f t="shared" si="40"/>
        <v>Normal</v>
      </c>
      <c r="U302" s="2" t="str">
        <f t="shared" si="41"/>
        <v>No</v>
      </c>
      <c r="V302" s="2" t="str">
        <f t="shared" si="42"/>
        <v>No</v>
      </c>
      <c r="W302" s="2" t="str">
        <f t="shared" si="43"/>
        <v>Regular</v>
      </c>
      <c r="X302" s="2" t="str">
        <f t="shared" si="44"/>
        <v>Discounted Bulk</v>
      </c>
    </row>
    <row r="303" spans="1:24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17</v>
      </c>
      <c r="F303" s="2" t="s">
        <v>30</v>
      </c>
      <c r="G303" s="2" t="s">
        <v>25</v>
      </c>
      <c r="H303" s="2" t="s">
        <v>19</v>
      </c>
      <c r="I303" s="2" t="s">
        <v>32</v>
      </c>
      <c r="J303" s="2" t="s">
        <v>66</v>
      </c>
      <c r="K303" s="2" t="s">
        <v>34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36"/>
        <v>4456.13</v>
      </c>
      <c r="Q303" s="2" t="str">
        <f t="shared" si="37"/>
        <v>No</v>
      </c>
      <c r="R303" s="2" t="str">
        <f t="shared" si="38"/>
        <v>No</v>
      </c>
      <c r="S303" s="2" t="str">
        <f t="shared" si="39"/>
        <v>Yes</v>
      </c>
      <c r="T303" s="2" t="str">
        <f t="shared" si="40"/>
        <v>Normal</v>
      </c>
      <c r="U303" s="2" t="str">
        <f t="shared" si="41"/>
        <v>Yes</v>
      </c>
      <c r="V303" s="2" t="str">
        <f t="shared" si="42"/>
        <v>Yes</v>
      </c>
      <c r="W303" s="2" t="str">
        <f t="shared" si="43"/>
        <v>Regular</v>
      </c>
      <c r="X303" s="2" t="str">
        <f t="shared" si="44"/>
        <v>Discounted Bulk</v>
      </c>
    </row>
    <row r="304" spans="1:24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38</v>
      </c>
      <c r="F304" s="2" t="s">
        <v>30</v>
      </c>
      <c r="G304" s="2" t="s">
        <v>18</v>
      </c>
      <c r="H304" s="2" t="s">
        <v>26</v>
      </c>
      <c r="I304" s="2" t="s">
        <v>58</v>
      </c>
      <c r="J304" s="2" t="s">
        <v>68</v>
      </c>
      <c r="K304" s="2" t="s">
        <v>22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36"/>
        <v>1543.1999999999998</v>
      </c>
      <c r="Q304" s="2" t="str">
        <f t="shared" si="37"/>
        <v>No</v>
      </c>
      <c r="R304" s="2" t="str">
        <f t="shared" si="38"/>
        <v>No</v>
      </c>
      <c r="S304" s="2" t="str">
        <f t="shared" si="39"/>
        <v>Yes</v>
      </c>
      <c r="T304" s="2" t="str">
        <f t="shared" si="40"/>
        <v>Normal</v>
      </c>
      <c r="U304" s="2" t="str">
        <f t="shared" si="41"/>
        <v>No</v>
      </c>
      <c r="V304" s="2" t="str">
        <f t="shared" si="42"/>
        <v>No</v>
      </c>
      <c r="W304" s="2" t="str">
        <f t="shared" si="43"/>
        <v>Regular</v>
      </c>
      <c r="X304" s="2" t="str">
        <f t="shared" si="44"/>
        <v>Discounted Bulk</v>
      </c>
    </row>
    <row r="305" spans="1:24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41</v>
      </c>
      <c r="F305" s="2" t="s">
        <v>24</v>
      </c>
      <c r="G305" s="2" t="s">
        <v>25</v>
      </c>
      <c r="H305" s="2" t="s">
        <v>26</v>
      </c>
      <c r="I305" s="2" t="s">
        <v>27</v>
      </c>
      <c r="J305" s="2" t="s">
        <v>62</v>
      </c>
      <c r="K305" s="2" t="s">
        <v>22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36"/>
        <v>10190.08</v>
      </c>
      <c r="Q305" s="2" t="str">
        <f t="shared" si="37"/>
        <v>No</v>
      </c>
      <c r="R305" s="2" t="str">
        <f t="shared" si="38"/>
        <v>No</v>
      </c>
      <c r="S305" s="2" t="str">
        <f t="shared" si="39"/>
        <v>Yes</v>
      </c>
      <c r="T305" s="2" t="str">
        <f t="shared" si="40"/>
        <v>Normal</v>
      </c>
      <c r="U305" s="2" t="str">
        <f t="shared" si="41"/>
        <v>Yes</v>
      </c>
      <c r="V305" s="2" t="str">
        <f t="shared" si="42"/>
        <v>Yes</v>
      </c>
      <c r="W305" s="2" t="str">
        <f t="shared" si="43"/>
        <v>Regular</v>
      </c>
      <c r="X305" s="2" t="str">
        <f t="shared" si="44"/>
        <v>Discounted Bulk</v>
      </c>
    </row>
    <row r="306" spans="1:24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47</v>
      </c>
      <c r="F306" s="2" t="s">
        <v>42</v>
      </c>
      <c r="G306" s="2" t="s">
        <v>18</v>
      </c>
      <c r="H306" s="2" t="s">
        <v>36</v>
      </c>
      <c r="I306" s="2" t="s">
        <v>32</v>
      </c>
      <c r="J306" s="2" t="s">
        <v>49</v>
      </c>
      <c r="K306" s="2" t="s">
        <v>22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36"/>
        <v>6512.04</v>
      </c>
      <c r="Q306" s="2" t="str">
        <f t="shared" si="37"/>
        <v>No</v>
      </c>
      <c r="R306" s="2" t="str">
        <f t="shared" si="38"/>
        <v>No</v>
      </c>
      <c r="S306" s="2" t="str">
        <f t="shared" si="39"/>
        <v>Yes</v>
      </c>
      <c r="T306" s="2" t="str">
        <f t="shared" si="40"/>
        <v>Normal</v>
      </c>
      <c r="U306" s="2" t="str">
        <f t="shared" si="41"/>
        <v>No</v>
      </c>
      <c r="V306" s="2" t="str">
        <f t="shared" si="42"/>
        <v>No</v>
      </c>
      <c r="W306" s="2" t="str">
        <f t="shared" si="43"/>
        <v>Regular</v>
      </c>
      <c r="X306" s="2" t="str">
        <f t="shared" si="44"/>
        <v>Discounted Bulk</v>
      </c>
    </row>
    <row r="307" spans="1:24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47</v>
      </c>
      <c r="F307" s="2" t="s">
        <v>30</v>
      </c>
      <c r="G307" s="2" t="s">
        <v>31</v>
      </c>
      <c r="H307" s="2" t="s">
        <v>43</v>
      </c>
      <c r="I307" s="2" t="s">
        <v>58</v>
      </c>
      <c r="J307" s="2" t="s">
        <v>63</v>
      </c>
      <c r="K307" s="2" t="s">
        <v>29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36"/>
        <v>3391.76</v>
      </c>
      <c r="Q307" s="2" t="str">
        <f t="shared" si="37"/>
        <v>No</v>
      </c>
      <c r="R307" s="2" t="str">
        <f t="shared" si="38"/>
        <v>No</v>
      </c>
      <c r="S307" s="2" t="str">
        <f t="shared" si="39"/>
        <v>No</v>
      </c>
      <c r="T307" s="2" t="str">
        <f t="shared" si="40"/>
        <v>Normal</v>
      </c>
      <c r="U307" s="2" t="str">
        <f t="shared" si="41"/>
        <v>No</v>
      </c>
      <c r="V307" s="2" t="str">
        <f t="shared" si="42"/>
        <v>No</v>
      </c>
      <c r="W307" s="2" t="str">
        <f t="shared" si="43"/>
        <v>Regular</v>
      </c>
      <c r="X307" s="2" t="str">
        <f t="shared" si="44"/>
        <v>Discounted Bulk</v>
      </c>
    </row>
    <row r="308" spans="1:24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16</v>
      </c>
      <c r="F308" s="2" t="s">
        <v>17</v>
      </c>
      <c r="G308" s="2" t="s">
        <v>25</v>
      </c>
      <c r="H308" s="2" t="s">
        <v>43</v>
      </c>
      <c r="I308" s="2" t="s">
        <v>58</v>
      </c>
      <c r="J308" s="2" t="s">
        <v>59</v>
      </c>
      <c r="K308" s="2" t="s">
        <v>29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36"/>
        <v>8033.8</v>
      </c>
      <c r="Q308" s="2" t="str">
        <f t="shared" si="37"/>
        <v>No</v>
      </c>
      <c r="R308" s="2" t="str">
        <f t="shared" si="38"/>
        <v>No</v>
      </c>
      <c r="S308" s="2" t="str">
        <f t="shared" si="39"/>
        <v>Yes</v>
      </c>
      <c r="T308" s="2" t="str">
        <f t="shared" si="40"/>
        <v>Normal</v>
      </c>
      <c r="U308" s="2" t="str">
        <f t="shared" si="41"/>
        <v>Yes</v>
      </c>
      <c r="V308" s="2" t="str">
        <f t="shared" si="42"/>
        <v>Yes</v>
      </c>
      <c r="W308" s="2" t="str">
        <f t="shared" si="43"/>
        <v>Regular</v>
      </c>
      <c r="X308" s="2" t="str">
        <f t="shared" si="44"/>
        <v>Discounted Bulk</v>
      </c>
    </row>
    <row r="309" spans="1:24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38</v>
      </c>
      <c r="F309" s="2" t="s">
        <v>24</v>
      </c>
      <c r="G309" s="2" t="s">
        <v>31</v>
      </c>
      <c r="H309" s="2" t="s">
        <v>26</v>
      </c>
      <c r="I309" s="2" t="s">
        <v>53</v>
      </c>
      <c r="J309" s="2" t="s">
        <v>54</v>
      </c>
      <c r="K309" s="2" t="s">
        <v>46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36"/>
        <v>12572.8</v>
      </c>
      <c r="Q309" s="2" t="str">
        <f t="shared" si="37"/>
        <v>No</v>
      </c>
      <c r="R309" s="2" t="str">
        <f t="shared" si="38"/>
        <v>No</v>
      </c>
      <c r="S309" s="2" t="str">
        <f t="shared" si="39"/>
        <v>No</v>
      </c>
      <c r="T309" s="2" t="str">
        <f t="shared" si="40"/>
        <v>Normal</v>
      </c>
      <c r="U309" s="2" t="str">
        <f t="shared" si="41"/>
        <v>No</v>
      </c>
      <c r="V309" s="2" t="str">
        <f t="shared" si="42"/>
        <v>No</v>
      </c>
      <c r="W309" s="2" t="str">
        <f t="shared" si="43"/>
        <v>Regular</v>
      </c>
      <c r="X309" s="2" t="str">
        <f t="shared" si="44"/>
        <v>Discounted Bulk</v>
      </c>
    </row>
    <row r="310" spans="1:24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35</v>
      </c>
      <c r="F310" s="2" t="s">
        <v>30</v>
      </c>
      <c r="G310" s="2" t="s">
        <v>31</v>
      </c>
      <c r="H310" s="2" t="s">
        <v>45</v>
      </c>
      <c r="I310" s="2" t="s">
        <v>50</v>
      </c>
      <c r="J310" s="2" t="s">
        <v>52</v>
      </c>
      <c r="K310" s="2" t="s">
        <v>48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36"/>
        <v>2740.46</v>
      </c>
      <c r="Q310" s="2" t="str">
        <f t="shared" si="37"/>
        <v>No</v>
      </c>
      <c r="R310" s="2" t="str">
        <f t="shared" si="38"/>
        <v>No</v>
      </c>
      <c r="S310" s="2" t="str">
        <f t="shared" si="39"/>
        <v>No</v>
      </c>
      <c r="T310" s="2" t="str">
        <f t="shared" si="40"/>
        <v>Normal</v>
      </c>
      <c r="U310" s="2" t="str">
        <f t="shared" si="41"/>
        <v>No</v>
      </c>
      <c r="V310" s="2" t="str">
        <f t="shared" si="42"/>
        <v>No</v>
      </c>
      <c r="W310" s="2" t="str">
        <f t="shared" si="43"/>
        <v>Regular</v>
      </c>
      <c r="X310" s="2" t="str">
        <f t="shared" si="44"/>
        <v>Discounted Bulk</v>
      </c>
    </row>
    <row r="311" spans="1:24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38</v>
      </c>
      <c r="F311" s="2" t="s">
        <v>42</v>
      </c>
      <c r="G311" s="2" t="s">
        <v>18</v>
      </c>
      <c r="H311" s="2" t="s">
        <v>45</v>
      </c>
      <c r="I311" s="2" t="s">
        <v>50</v>
      </c>
      <c r="J311" s="2" t="s">
        <v>52</v>
      </c>
      <c r="K311" s="2" t="s">
        <v>34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36"/>
        <v>17630.28</v>
      </c>
      <c r="Q311" s="2" t="str">
        <f t="shared" si="37"/>
        <v>Yes</v>
      </c>
      <c r="R311" s="2" t="str">
        <f t="shared" si="38"/>
        <v>No</v>
      </c>
      <c r="S311" s="2" t="str">
        <f t="shared" si="39"/>
        <v>Yes</v>
      </c>
      <c r="T311" s="2" t="str">
        <f t="shared" si="40"/>
        <v>Normal</v>
      </c>
      <c r="U311" s="2" t="str">
        <f t="shared" si="41"/>
        <v>No</v>
      </c>
      <c r="V311" s="2" t="str">
        <f t="shared" si="42"/>
        <v>No</v>
      </c>
      <c r="W311" s="2" t="str">
        <f t="shared" si="43"/>
        <v>Premium</v>
      </c>
      <c r="X311" s="2" t="str">
        <f t="shared" si="44"/>
        <v>Discounted Bulk</v>
      </c>
    </row>
    <row r="312" spans="1:24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47</v>
      </c>
      <c r="F312" s="2" t="s">
        <v>24</v>
      </c>
      <c r="G312" s="2" t="s">
        <v>25</v>
      </c>
      <c r="H312" s="2" t="s">
        <v>19</v>
      </c>
      <c r="I312" s="2" t="s">
        <v>20</v>
      </c>
      <c r="J312" s="2" t="s">
        <v>44</v>
      </c>
      <c r="K312" s="2" t="s">
        <v>34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36"/>
        <v>8186.04</v>
      </c>
      <c r="Q312" s="2" t="str">
        <f t="shared" si="37"/>
        <v>No</v>
      </c>
      <c r="R312" s="2" t="str">
        <f t="shared" si="38"/>
        <v>No</v>
      </c>
      <c r="S312" s="2" t="str">
        <f t="shared" si="39"/>
        <v>Yes</v>
      </c>
      <c r="T312" s="2" t="str">
        <f t="shared" si="40"/>
        <v>Normal</v>
      </c>
      <c r="U312" s="2" t="str">
        <f t="shared" si="41"/>
        <v>Yes</v>
      </c>
      <c r="V312" s="2" t="str">
        <f t="shared" si="42"/>
        <v>Yes</v>
      </c>
      <c r="W312" s="2" t="str">
        <f t="shared" si="43"/>
        <v>Regular</v>
      </c>
      <c r="X312" s="2" t="str">
        <f t="shared" si="44"/>
        <v>Discounted Bulk</v>
      </c>
    </row>
    <row r="313" spans="1:24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47</v>
      </c>
      <c r="F313" s="2" t="s">
        <v>39</v>
      </c>
      <c r="G313" s="2" t="s">
        <v>31</v>
      </c>
      <c r="H313" s="2" t="s">
        <v>19</v>
      </c>
      <c r="I313" s="2" t="s">
        <v>53</v>
      </c>
      <c r="J313" s="2" t="s">
        <v>57</v>
      </c>
      <c r="K313" s="2" t="s">
        <v>34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36"/>
        <v>2588.64</v>
      </c>
      <c r="Q313" s="2" t="str">
        <f t="shared" si="37"/>
        <v>No</v>
      </c>
      <c r="R313" s="2" t="str">
        <f t="shared" si="38"/>
        <v>No</v>
      </c>
      <c r="S313" s="2" t="str">
        <f t="shared" si="39"/>
        <v>No</v>
      </c>
      <c r="T313" s="2" t="str">
        <f t="shared" si="40"/>
        <v>Normal</v>
      </c>
      <c r="U313" s="2" t="str">
        <f t="shared" si="41"/>
        <v>No</v>
      </c>
      <c r="V313" s="2" t="str">
        <f t="shared" si="42"/>
        <v>No</v>
      </c>
      <c r="W313" s="2" t="str">
        <f t="shared" si="43"/>
        <v>Regular</v>
      </c>
      <c r="X313" s="2" t="str">
        <f t="shared" si="44"/>
        <v>Discounted Bulk</v>
      </c>
    </row>
    <row r="314" spans="1:24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41</v>
      </c>
      <c r="F314" s="2" t="s">
        <v>42</v>
      </c>
      <c r="G314" s="2" t="s">
        <v>18</v>
      </c>
      <c r="H314" s="2" t="s">
        <v>36</v>
      </c>
      <c r="I314" s="2" t="s">
        <v>58</v>
      </c>
      <c r="J314" s="2" t="s">
        <v>63</v>
      </c>
      <c r="K314" s="2" t="s">
        <v>46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36"/>
        <v>3251.27</v>
      </c>
      <c r="Q314" s="2" t="str">
        <f t="shared" si="37"/>
        <v>No</v>
      </c>
      <c r="R314" s="2" t="str">
        <f t="shared" si="38"/>
        <v>No</v>
      </c>
      <c r="S314" s="2" t="str">
        <f t="shared" si="39"/>
        <v>Yes</v>
      </c>
      <c r="T314" s="2" t="str">
        <f t="shared" si="40"/>
        <v>Normal</v>
      </c>
      <c r="U314" s="2" t="str">
        <f t="shared" si="41"/>
        <v>No</v>
      </c>
      <c r="V314" s="2" t="str">
        <f t="shared" si="42"/>
        <v>No</v>
      </c>
      <c r="W314" s="2" t="str">
        <f t="shared" si="43"/>
        <v>Regular</v>
      </c>
      <c r="X314" s="2" t="str">
        <f t="shared" si="44"/>
        <v>Discounted Bulk</v>
      </c>
    </row>
    <row r="315" spans="1:24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38</v>
      </c>
      <c r="F315" s="2" t="s">
        <v>17</v>
      </c>
      <c r="G315" s="2" t="s">
        <v>25</v>
      </c>
      <c r="H315" s="2" t="s">
        <v>26</v>
      </c>
      <c r="I315" s="2" t="s">
        <v>27</v>
      </c>
      <c r="J315" s="2" t="s">
        <v>70</v>
      </c>
      <c r="K315" s="2" t="s">
        <v>29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36"/>
        <v>1681.85</v>
      </c>
      <c r="Q315" s="2" t="str">
        <f t="shared" si="37"/>
        <v>No</v>
      </c>
      <c r="R315" s="2" t="str">
        <f t="shared" si="38"/>
        <v>No</v>
      </c>
      <c r="S315" s="2" t="str">
        <f t="shared" si="39"/>
        <v>Yes</v>
      </c>
      <c r="T315" s="2" t="str">
        <f t="shared" si="40"/>
        <v>Normal</v>
      </c>
      <c r="U315" s="2" t="str">
        <f t="shared" si="41"/>
        <v>Yes</v>
      </c>
      <c r="V315" s="2" t="str">
        <f t="shared" si="42"/>
        <v>Yes</v>
      </c>
      <c r="W315" s="2" t="str">
        <f t="shared" si="43"/>
        <v>Regular</v>
      </c>
      <c r="X315" s="2" t="str">
        <f t="shared" si="44"/>
        <v>Discounted Bulk</v>
      </c>
    </row>
    <row r="316" spans="1:24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38</v>
      </c>
      <c r="F316" s="2" t="s">
        <v>30</v>
      </c>
      <c r="G316" s="2" t="s">
        <v>25</v>
      </c>
      <c r="H316" s="2" t="s">
        <v>19</v>
      </c>
      <c r="I316" s="2" t="s">
        <v>50</v>
      </c>
      <c r="J316" s="2" t="s">
        <v>51</v>
      </c>
      <c r="K316" s="2" t="s">
        <v>46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36"/>
        <v>26024.16</v>
      </c>
      <c r="Q316" s="2" t="str">
        <f t="shared" si="37"/>
        <v>Yes</v>
      </c>
      <c r="R316" s="2" t="str">
        <f t="shared" si="38"/>
        <v>Yes</v>
      </c>
      <c r="S316" s="2" t="str">
        <f t="shared" si="39"/>
        <v>Yes</v>
      </c>
      <c r="T316" s="2" t="str">
        <f t="shared" si="40"/>
        <v>Normal</v>
      </c>
      <c r="U316" s="2" t="str">
        <f t="shared" si="41"/>
        <v>Yes</v>
      </c>
      <c r="V316" s="2" t="str">
        <f t="shared" si="42"/>
        <v>Yes</v>
      </c>
      <c r="W316" s="2" t="str">
        <f t="shared" si="43"/>
        <v>Premium</v>
      </c>
      <c r="X316" s="2" t="str">
        <f t="shared" si="44"/>
        <v>Non Discounted Bulk</v>
      </c>
    </row>
    <row r="317" spans="1:24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47</v>
      </c>
      <c r="F317" s="2" t="s">
        <v>39</v>
      </c>
      <c r="G317" s="2" t="s">
        <v>31</v>
      </c>
      <c r="H317" s="2" t="s">
        <v>19</v>
      </c>
      <c r="I317" s="2" t="s">
        <v>58</v>
      </c>
      <c r="J317" s="2" t="s">
        <v>59</v>
      </c>
      <c r="K317" s="2" t="s">
        <v>34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36"/>
        <v>19434.080000000002</v>
      </c>
      <c r="Q317" s="2" t="str">
        <f t="shared" si="37"/>
        <v>Yes</v>
      </c>
      <c r="R317" s="2" t="str">
        <f t="shared" si="38"/>
        <v>Yes</v>
      </c>
      <c r="S317" s="2" t="str">
        <f t="shared" si="39"/>
        <v>No</v>
      </c>
      <c r="T317" s="2" t="str">
        <f t="shared" si="40"/>
        <v>Normal</v>
      </c>
      <c r="U317" s="2" t="str">
        <f t="shared" si="41"/>
        <v>No</v>
      </c>
      <c r="V317" s="2" t="str">
        <f t="shared" si="42"/>
        <v>No</v>
      </c>
      <c r="W317" s="2" t="str">
        <f t="shared" si="43"/>
        <v>Regular</v>
      </c>
      <c r="X317" s="2" t="str">
        <f t="shared" si="44"/>
        <v>Non Discounted Bulk</v>
      </c>
    </row>
    <row r="318" spans="1:24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35</v>
      </c>
      <c r="F318" s="2" t="s">
        <v>39</v>
      </c>
      <c r="G318" s="2" t="s">
        <v>25</v>
      </c>
      <c r="H318" s="2" t="s">
        <v>26</v>
      </c>
      <c r="I318" s="2" t="s">
        <v>50</v>
      </c>
      <c r="J318" s="2" t="s">
        <v>64</v>
      </c>
      <c r="K318" s="2" t="s">
        <v>48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36"/>
        <v>1577.44</v>
      </c>
      <c r="Q318" s="2" t="str">
        <f t="shared" si="37"/>
        <v>No</v>
      </c>
      <c r="R318" s="2" t="str">
        <f t="shared" si="38"/>
        <v>No</v>
      </c>
      <c r="S318" s="2" t="str">
        <f t="shared" si="39"/>
        <v>Yes</v>
      </c>
      <c r="T318" s="2" t="str">
        <f t="shared" si="40"/>
        <v>Normal</v>
      </c>
      <c r="U318" s="2" t="str">
        <f t="shared" si="41"/>
        <v>Yes</v>
      </c>
      <c r="V318" s="2" t="str">
        <f t="shared" si="42"/>
        <v>Yes</v>
      </c>
      <c r="W318" s="2" t="str">
        <f t="shared" si="43"/>
        <v>Regular</v>
      </c>
      <c r="X318" s="2" t="str">
        <f t="shared" si="44"/>
        <v>Discounted Bulk</v>
      </c>
    </row>
    <row r="319" spans="1:24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16</v>
      </c>
      <c r="F319" s="2" t="s">
        <v>24</v>
      </c>
      <c r="G319" s="2" t="s">
        <v>31</v>
      </c>
      <c r="H319" s="2" t="s">
        <v>36</v>
      </c>
      <c r="I319" s="2" t="s">
        <v>50</v>
      </c>
      <c r="J319" s="2" t="s">
        <v>69</v>
      </c>
      <c r="K319" s="2" t="s">
        <v>22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36"/>
        <v>1715.21</v>
      </c>
      <c r="Q319" s="2" t="str">
        <f t="shared" si="37"/>
        <v>No</v>
      </c>
      <c r="R319" s="2" t="str">
        <f t="shared" si="38"/>
        <v>No</v>
      </c>
      <c r="S319" s="2" t="str">
        <f t="shared" si="39"/>
        <v>No</v>
      </c>
      <c r="T319" s="2" t="str">
        <f t="shared" si="40"/>
        <v>Normal</v>
      </c>
      <c r="U319" s="2" t="str">
        <f t="shared" si="41"/>
        <v>No</v>
      </c>
      <c r="V319" s="2" t="str">
        <f t="shared" si="42"/>
        <v>No</v>
      </c>
      <c r="W319" s="2" t="str">
        <f t="shared" si="43"/>
        <v>Regular</v>
      </c>
      <c r="X319" s="2" t="str">
        <f t="shared" si="44"/>
        <v>Discounted Bulk</v>
      </c>
    </row>
    <row r="320" spans="1:24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23</v>
      </c>
      <c r="F320" s="2" t="s">
        <v>39</v>
      </c>
      <c r="G320" s="2" t="s">
        <v>25</v>
      </c>
      <c r="H320" s="2" t="s">
        <v>19</v>
      </c>
      <c r="I320" s="2" t="s">
        <v>50</v>
      </c>
      <c r="J320" s="2" t="s">
        <v>51</v>
      </c>
      <c r="K320" s="2" t="s">
        <v>29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36"/>
        <v>12372.8</v>
      </c>
      <c r="Q320" s="2" t="str">
        <f t="shared" si="37"/>
        <v>Yes</v>
      </c>
      <c r="R320" s="2" t="str">
        <f t="shared" si="38"/>
        <v>Yes</v>
      </c>
      <c r="S320" s="2" t="str">
        <f t="shared" si="39"/>
        <v>Yes</v>
      </c>
      <c r="T320" s="2" t="str">
        <f t="shared" si="40"/>
        <v>Normal</v>
      </c>
      <c r="U320" s="2" t="str">
        <f t="shared" si="41"/>
        <v>Yes</v>
      </c>
      <c r="V320" s="2" t="str">
        <f t="shared" si="42"/>
        <v>Yes</v>
      </c>
      <c r="W320" s="2" t="str">
        <f t="shared" si="43"/>
        <v>Regular</v>
      </c>
      <c r="X320" s="2" t="str">
        <f t="shared" si="44"/>
        <v>Non Discounted Bulk</v>
      </c>
    </row>
    <row r="321" spans="1:24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16</v>
      </c>
      <c r="F321" s="2" t="s">
        <v>17</v>
      </c>
      <c r="G321" s="2" t="s">
        <v>18</v>
      </c>
      <c r="H321" s="2" t="s">
        <v>36</v>
      </c>
      <c r="I321" s="2" t="s">
        <v>27</v>
      </c>
      <c r="J321" s="2" t="s">
        <v>37</v>
      </c>
      <c r="K321" s="2" t="s">
        <v>29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36"/>
        <v>18038.240000000002</v>
      </c>
      <c r="Q321" s="2" t="str">
        <f t="shared" si="37"/>
        <v>Yes</v>
      </c>
      <c r="R321" s="2" t="str">
        <f t="shared" si="38"/>
        <v>No</v>
      </c>
      <c r="S321" s="2" t="str">
        <f t="shared" si="39"/>
        <v>Yes</v>
      </c>
      <c r="T321" s="2" t="str">
        <f t="shared" si="40"/>
        <v>Normal</v>
      </c>
      <c r="U321" s="2" t="str">
        <f t="shared" si="41"/>
        <v>No</v>
      </c>
      <c r="V321" s="2" t="str">
        <f t="shared" si="42"/>
        <v>No</v>
      </c>
      <c r="W321" s="2" t="str">
        <f t="shared" si="43"/>
        <v>Regular</v>
      </c>
      <c r="X321" s="2" t="str">
        <f t="shared" si="44"/>
        <v>Discounted Bulk</v>
      </c>
    </row>
    <row r="322" spans="1:24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38</v>
      </c>
      <c r="F322" s="2" t="s">
        <v>17</v>
      </c>
      <c r="G322" s="2" t="s">
        <v>31</v>
      </c>
      <c r="H322" s="2" t="s">
        <v>43</v>
      </c>
      <c r="I322" s="2" t="s">
        <v>53</v>
      </c>
      <c r="J322" s="2" t="s">
        <v>61</v>
      </c>
      <c r="K322" s="2" t="s">
        <v>46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36"/>
        <v>23683.17</v>
      </c>
      <c r="Q322" s="2" t="str">
        <f t="shared" si="37"/>
        <v>Yes</v>
      </c>
      <c r="R322" s="2" t="str">
        <f t="shared" si="38"/>
        <v>No</v>
      </c>
      <c r="S322" s="2" t="str">
        <f t="shared" si="39"/>
        <v>No</v>
      </c>
      <c r="T322" s="2" t="str">
        <f t="shared" si="40"/>
        <v>Normal</v>
      </c>
      <c r="U322" s="2" t="str">
        <f t="shared" si="41"/>
        <v>No</v>
      </c>
      <c r="V322" s="2" t="str">
        <f t="shared" si="42"/>
        <v>No</v>
      </c>
      <c r="W322" s="2" t="str">
        <f t="shared" si="43"/>
        <v>Premium</v>
      </c>
      <c r="X322" s="2" t="str">
        <f t="shared" si="44"/>
        <v>Discounted Bulk</v>
      </c>
    </row>
    <row r="323" spans="1:24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16</v>
      </c>
      <c r="F323" s="2" t="s">
        <v>55</v>
      </c>
      <c r="G323" s="2" t="s">
        <v>31</v>
      </c>
      <c r="H323" s="2" t="s">
        <v>36</v>
      </c>
      <c r="I323" s="2" t="s">
        <v>27</v>
      </c>
      <c r="J323" s="2" t="s">
        <v>62</v>
      </c>
      <c r="K323" s="2" t="s">
        <v>29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45">L323*M323</f>
        <v>3204.1000000000004</v>
      </c>
      <c r="Q323" s="2" t="str">
        <f t="shared" ref="Q323:Q386" si="46">IF(AND(L323&gt;=5,O323&gt;=10000),"Yes","No")</f>
        <v>No</v>
      </c>
      <c r="R323" s="2" t="str">
        <f t="shared" ref="R323:R386" si="47">IF(AND(L323&gt;=8,N323&gt;=10),"Yes","No")</f>
        <v>No</v>
      </c>
      <c r="S323" s="2" t="str">
        <f t="shared" ref="S323:S386" si="48">IF(OR(G323="Website",G323="Mobile App"),"Yes","No")</f>
        <v>No</v>
      </c>
      <c r="T323" s="2" t="str">
        <f t="shared" ref="T323:T386" si="49">IF(AND(L323&lt;3,O323&lt;=1000),"Special Attention","Normal")</f>
        <v>Normal</v>
      </c>
      <c r="U323" s="2" t="str">
        <f t="shared" ref="U323:U386" si="50">IF(NOT(G323="Website"),"No","Yes")</f>
        <v>No</v>
      </c>
      <c r="V323" s="2" t="str">
        <f t="shared" ref="V323:V386" si="51">IF((G323&lt;&gt;"Website"), "No","Yes")</f>
        <v>No</v>
      </c>
      <c r="W323" s="2" t="str">
        <f t="shared" ref="W323:W386" si="52">IF(AND(O323&gt;15000,OR(I323="Electronics",I323="Beauty")),"Premium","Regular")</f>
        <v>Regular</v>
      </c>
      <c r="X323" s="2" t="str">
        <f t="shared" ref="X323:X386" si="53">IF(AND(L323&gt;=8,NOT(N323=0)),"Non Discounted Bulk","Discounted Bulk")</f>
        <v>Discounted Bulk</v>
      </c>
    </row>
    <row r="324" spans="1:24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47</v>
      </c>
      <c r="F324" s="2" t="s">
        <v>17</v>
      </c>
      <c r="G324" s="2" t="s">
        <v>25</v>
      </c>
      <c r="H324" s="2" t="s">
        <v>45</v>
      </c>
      <c r="I324" s="2" t="s">
        <v>32</v>
      </c>
      <c r="J324" s="2" t="s">
        <v>49</v>
      </c>
      <c r="K324" s="2" t="s">
        <v>34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45"/>
        <v>3230.79</v>
      </c>
      <c r="Q324" s="2" t="str">
        <f t="shared" si="46"/>
        <v>No</v>
      </c>
      <c r="R324" s="2" t="str">
        <f t="shared" si="47"/>
        <v>No</v>
      </c>
      <c r="S324" s="2" t="str">
        <f t="shared" si="48"/>
        <v>Yes</v>
      </c>
      <c r="T324" s="2" t="str">
        <f t="shared" si="49"/>
        <v>Normal</v>
      </c>
      <c r="U324" s="2" t="str">
        <f t="shared" si="50"/>
        <v>Yes</v>
      </c>
      <c r="V324" s="2" t="str">
        <f t="shared" si="51"/>
        <v>Yes</v>
      </c>
      <c r="W324" s="2" t="str">
        <f t="shared" si="52"/>
        <v>Regular</v>
      </c>
      <c r="X324" s="2" t="str">
        <f t="shared" si="53"/>
        <v>Discounted Bulk</v>
      </c>
    </row>
    <row r="325" spans="1:24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47</v>
      </c>
      <c r="F325" s="2" t="s">
        <v>42</v>
      </c>
      <c r="G325" s="2" t="s">
        <v>25</v>
      </c>
      <c r="H325" s="2" t="s">
        <v>45</v>
      </c>
      <c r="I325" s="2" t="s">
        <v>58</v>
      </c>
      <c r="J325" s="2" t="s">
        <v>59</v>
      </c>
      <c r="K325" s="2" t="s">
        <v>34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45"/>
        <v>31253.22</v>
      </c>
      <c r="Q325" s="2" t="str">
        <f t="shared" si="46"/>
        <v>Yes</v>
      </c>
      <c r="R325" s="2" t="str">
        <f t="shared" si="47"/>
        <v>Yes</v>
      </c>
      <c r="S325" s="2" t="str">
        <f t="shared" si="48"/>
        <v>Yes</v>
      </c>
      <c r="T325" s="2" t="str">
        <f t="shared" si="49"/>
        <v>Normal</v>
      </c>
      <c r="U325" s="2" t="str">
        <f t="shared" si="50"/>
        <v>Yes</v>
      </c>
      <c r="V325" s="2" t="str">
        <f t="shared" si="51"/>
        <v>Yes</v>
      </c>
      <c r="W325" s="2" t="str">
        <f t="shared" si="52"/>
        <v>Regular</v>
      </c>
      <c r="X325" s="2" t="str">
        <f t="shared" si="53"/>
        <v>Non Discounted Bulk</v>
      </c>
    </row>
    <row r="326" spans="1:24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38</v>
      </c>
      <c r="F326" s="2" t="s">
        <v>39</v>
      </c>
      <c r="G326" s="2" t="s">
        <v>31</v>
      </c>
      <c r="H326" s="2" t="s">
        <v>36</v>
      </c>
      <c r="I326" s="2" t="s">
        <v>53</v>
      </c>
      <c r="J326" s="2" t="s">
        <v>65</v>
      </c>
      <c r="K326" s="2" t="s">
        <v>46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45"/>
        <v>5111.05</v>
      </c>
      <c r="Q326" s="2" t="str">
        <f t="shared" si="46"/>
        <v>No</v>
      </c>
      <c r="R326" s="2" t="str">
        <f t="shared" si="47"/>
        <v>No</v>
      </c>
      <c r="S326" s="2" t="str">
        <f t="shared" si="48"/>
        <v>No</v>
      </c>
      <c r="T326" s="2" t="str">
        <f t="shared" si="49"/>
        <v>Normal</v>
      </c>
      <c r="U326" s="2" t="str">
        <f t="shared" si="50"/>
        <v>No</v>
      </c>
      <c r="V326" s="2" t="str">
        <f t="shared" si="51"/>
        <v>No</v>
      </c>
      <c r="W326" s="2" t="str">
        <f t="shared" si="52"/>
        <v>Regular</v>
      </c>
      <c r="X326" s="2" t="str">
        <f t="shared" si="53"/>
        <v>Discounted Bulk</v>
      </c>
    </row>
    <row r="327" spans="1:24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38</v>
      </c>
      <c r="F327" s="2" t="s">
        <v>17</v>
      </c>
      <c r="G327" s="2" t="s">
        <v>25</v>
      </c>
      <c r="H327" s="2" t="s">
        <v>45</v>
      </c>
      <c r="I327" s="2" t="s">
        <v>53</v>
      </c>
      <c r="J327" s="2" t="s">
        <v>61</v>
      </c>
      <c r="K327" s="2" t="s">
        <v>34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45"/>
        <v>6857.28</v>
      </c>
      <c r="Q327" s="2" t="str">
        <f t="shared" si="46"/>
        <v>No</v>
      </c>
      <c r="R327" s="2" t="str">
        <f t="shared" si="47"/>
        <v>No</v>
      </c>
      <c r="S327" s="2" t="str">
        <f t="shared" si="48"/>
        <v>Yes</v>
      </c>
      <c r="T327" s="2" t="str">
        <f t="shared" si="49"/>
        <v>Normal</v>
      </c>
      <c r="U327" s="2" t="str">
        <f t="shared" si="50"/>
        <v>Yes</v>
      </c>
      <c r="V327" s="2" t="str">
        <f t="shared" si="51"/>
        <v>Yes</v>
      </c>
      <c r="W327" s="2" t="str">
        <f t="shared" si="52"/>
        <v>Regular</v>
      </c>
      <c r="X327" s="2" t="str">
        <f t="shared" si="53"/>
        <v>Discounted Bulk</v>
      </c>
    </row>
    <row r="328" spans="1:24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23</v>
      </c>
      <c r="F328" s="2" t="s">
        <v>24</v>
      </c>
      <c r="G328" s="2" t="s">
        <v>18</v>
      </c>
      <c r="H328" s="2" t="s">
        <v>43</v>
      </c>
      <c r="I328" s="2" t="s">
        <v>53</v>
      </c>
      <c r="J328" s="2" t="s">
        <v>61</v>
      </c>
      <c r="K328" s="2" t="s">
        <v>48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45"/>
        <v>23802.6</v>
      </c>
      <c r="Q328" s="2" t="str">
        <f t="shared" si="46"/>
        <v>Yes</v>
      </c>
      <c r="R328" s="2" t="str">
        <f t="shared" si="47"/>
        <v>No</v>
      </c>
      <c r="S328" s="2" t="str">
        <f t="shared" si="48"/>
        <v>Yes</v>
      </c>
      <c r="T328" s="2" t="str">
        <f t="shared" si="49"/>
        <v>Normal</v>
      </c>
      <c r="U328" s="2" t="str">
        <f t="shared" si="50"/>
        <v>No</v>
      </c>
      <c r="V328" s="2" t="str">
        <f t="shared" si="51"/>
        <v>No</v>
      </c>
      <c r="W328" s="2" t="str">
        <f t="shared" si="52"/>
        <v>Premium</v>
      </c>
      <c r="X328" s="2" t="str">
        <f t="shared" si="53"/>
        <v>Discounted Bulk</v>
      </c>
    </row>
    <row r="329" spans="1:24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23</v>
      </c>
      <c r="F329" s="2" t="s">
        <v>55</v>
      </c>
      <c r="G329" s="2" t="s">
        <v>25</v>
      </c>
      <c r="H329" s="2" t="s">
        <v>26</v>
      </c>
      <c r="I329" s="2" t="s">
        <v>53</v>
      </c>
      <c r="J329" s="2" t="s">
        <v>54</v>
      </c>
      <c r="K329" s="2" t="s">
        <v>46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45"/>
        <v>5896.66</v>
      </c>
      <c r="Q329" s="2" t="str">
        <f t="shared" si="46"/>
        <v>No</v>
      </c>
      <c r="R329" s="2" t="str">
        <f t="shared" si="47"/>
        <v>No</v>
      </c>
      <c r="S329" s="2" t="str">
        <f t="shared" si="48"/>
        <v>Yes</v>
      </c>
      <c r="T329" s="2" t="str">
        <f t="shared" si="49"/>
        <v>Normal</v>
      </c>
      <c r="U329" s="2" t="str">
        <f t="shared" si="50"/>
        <v>Yes</v>
      </c>
      <c r="V329" s="2" t="str">
        <f t="shared" si="51"/>
        <v>Yes</v>
      </c>
      <c r="W329" s="2" t="str">
        <f t="shared" si="52"/>
        <v>Regular</v>
      </c>
      <c r="X329" s="2" t="str">
        <f t="shared" si="53"/>
        <v>Discounted Bulk</v>
      </c>
    </row>
    <row r="330" spans="1:24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41</v>
      </c>
      <c r="F330" s="2" t="s">
        <v>39</v>
      </c>
      <c r="G330" s="2" t="s">
        <v>18</v>
      </c>
      <c r="H330" s="2" t="s">
        <v>45</v>
      </c>
      <c r="I330" s="2" t="s">
        <v>27</v>
      </c>
      <c r="J330" s="2" t="s">
        <v>28</v>
      </c>
      <c r="K330" s="2" t="s">
        <v>48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45"/>
        <v>3171.36</v>
      </c>
      <c r="Q330" s="2" t="str">
        <f t="shared" si="46"/>
        <v>No</v>
      </c>
      <c r="R330" s="2" t="str">
        <f t="shared" si="47"/>
        <v>No</v>
      </c>
      <c r="S330" s="2" t="str">
        <f t="shared" si="48"/>
        <v>Yes</v>
      </c>
      <c r="T330" s="2" t="str">
        <f t="shared" si="49"/>
        <v>Normal</v>
      </c>
      <c r="U330" s="2" t="str">
        <f t="shared" si="50"/>
        <v>No</v>
      </c>
      <c r="V330" s="2" t="str">
        <f t="shared" si="51"/>
        <v>No</v>
      </c>
      <c r="W330" s="2" t="str">
        <f t="shared" si="52"/>
        <v>Regular</v>
      </c>
      <c r="X330" s="2" t="str">
        <f t="shared" si="53"/>
        <v>Discounted Bulk</v>
      </c>
    </row>
    <row r="331" spans="1:24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38</v>
      </c>
      <c r="F331" s="2" t="s">
        <v>55</v>
      </c>
      <c r="G331" s="2" t="s">
        <v>18</v>
      </c>
      <c r="H331" s="2" t="s">
        <v>45</v>
      </c>
      <c r="I331" s="2" t="s">
        <v>53</v>
      </c>
      <c r="J331" s="2" t="s">
        <v>65</v>
      </c>
      <c r="K331" s="2" t="s">
        <v>22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45"/>
        <v>27849.5</v>
      </c>
      <c r="Q331" s="2" t="str">
        <f t="shared" si="46"/>
        <v>Yes</v>
      </c>
      <c r="R331" s="2" t="str">
        <f t="shared" si="47"/>
        <v>No</v>
      </c>
      <c r="S331" s="2" t="str">
        <f t="shared" si="48"/>
        <v>Yes</v>
      </c>
      <c r="T331" s="2" t="str">
        <f t="shared" si="49"/>
        <v>Normal</v>
      </c>
      <c r="U331" s="2" t="str">
        <f t="shared" si="50"/>
        <v>No</v>
      </c>
      <c r="V331" s="2" t="str">
        <f t="shared" si="51"/>
        <v>No</v>
      </c>
      <c r="W331" s="2" t="str">
        <f t="shared" si="52"/>
        <v>Premium</v>
      </c>
      <c r="X331" s="2" t="str">
        <f t="shared" si="53"/>
        <v>Discounted Bulk</v>
      </c>
    </row>
    <row r="332" spans="1:24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35</v>
      </c>
      <c r="F332" s="2" t="s">
        <v>39</v>
      </c>
      <c r="G332" s="2" t="s">
        <v>18</v>
      </c>
      <c r="H332" s="2" t="s">
        <v>36</v>
      </c>
      <c r="I332" s="2" t="s">
        <v>20</v>
      </c>
      <c r="J332" s="2" t="s">
        <v>56</v>
      </c>
      <c r="K332" s="2" t="s">
        <v>48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45"/>
        <v>4962.2</v>
      </c>
      <c r="Q332" s="2" t="str">
        <f t="shared" si="46"/>
        <v>No</v>
      </c>
      <c r="R332" s="2" t="str">
        <f t="shared" si="47"/>
        <v>No</v>
      </c>
      <c r="S332" s="2" t="str">
        <f t="shared" si="48"/>
        <v>Yes</v>
      </c>
      <c r="T332" s="2" t="str">
        <f t="shared" si="49"/>
        <v>Normal</v>
      </c>
      <c r="U332" s="2" t="str">
        <f t="shared" si="50"/>
        <v>No</v>
      </c>
      <c r="V332" s="2" t="str">
        <f t="shared" si="51"/>
        <v>No</v>
      </c>
      <c r="W332" s="2" t="str">
        <f t="shared" si="52"/>
        <v>Regular</v>
      </c>
      <c r="X332" s="2" t="str">
        <f t="shared" si="53"/>
        <v>Discounted Bulk</v>
      </c>
    </row>
    <row r="333" spans="1:24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16</v>
      </c>
      <c r="F333" s="2" t="s">
        <v>24</v>
      </c>
      <c r="G333" s="2" t="s">
        <v>18</v>
      </c>
      <c r="H333" s="2" t="s">
        <v>43</v>
      </c>
      <c r="I333" s="2" t="s">
        <v>58</v>
      </c>
      <c r="J333" s="2" t="s">
        <v>68</v>
      </c>
      <c r="K333" s="2" t="s">
        <v>22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45"/>
        <v>2670.72</v>
      </c>
      <c r="Q333" s="2" t="str">
        <f t="shared" si="46"/>
        <v>No</v>
      </c>
      <c r="R333" s="2" t="str">
        <f t="shared" si="47"/>
        <v>No</v>
      </c>
      <c r="S333" s="2" t="str">
        <f t="shared" si="48"/>
        <v>Yes</v>
      </c>
      <c r="T333" s="2" t="str">
        <f t="shared" si="49"/>
        <v>Normal</v>
      </c>
      <c r="U333" s="2" t="str">
        <f t="shared" si="50"/>
        <v>No</v>
      </c>
      <c r="V333" s="2" t="str">
        <f t="shared" si="51"/>
        <v>No</v>
      </c>
      <c r="W333" s="2" t="str">
        <f t="shared" si="52"/>
        <v>Regular</v>
      </c>
      <c r="X333" s="2" t="str">
        <f t="shared" si="53"/>
        <v>Discounted Bulk</v>
      </c>
    </row>
    <row r="334" spans="1:24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38</v>
      </c>
      <c r="F334" s="2" t="s">
        <v>55</v>
      </c>
      <c r="G334" s="2" t="s">
        <v>18</v>
      </c>
      <c r="H334" s="2" t="s">
        <v>26</v>
      </c>
      <c r="I334" s="2" t="s">
        <v>53</v>
      </c>
      <c r="J334" s="2" t="s">
        <v>61</v>
      </c>
      <c r="K334" s="2" t="s">
        <v>22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45"/>
        <v>16872.449999999997</v>
      </c>
      <c r="Q334" s="2" t="str">
        <f t="shared" si="46"/>
        <v>Yes</v>
      </c>
      <c r="R334" s="2" t="str">
        <f t="shared" si="47"/>
        <v>No</v>
      </c>
      <c r="S334" s="2" t="str">
        <f t="shared" si="48"/>
        <v>Yes</v>
      </c>
      <c r="T334" s="2" t="str">
        <f t="shared" si="49"/>
        <v>Normal</v>
      </c>
      <c r="U334" s="2" t="str">
        <f t="shared" si="50"/>
        <v>No</v>
      </c>
      <c r="V334" s="2" t="str">
        <f t="shared" si="51"/>
        <v>No</v>
      </c>
      <c r="W334" s="2" t="str">
        <f t="shared" si="52"/>
        <v>Premium</v>
      </c>
      <c r="X334" s="2" t="str">
        <f t="shared" si="53"/>
        <v>Discounted Bulk</v>
      </c>
    </row>
    <row r="335" spans="1:24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17</v>
      </c>
      <c r="F335" s="2" t="s">
        <v>30</v>
      </c>
      <c r="G335" s="2" t="s">
        <v>25</v>
      </c>
      <c r="H335" s="2" t="s">
        <v>36</v>
      </c>
      <c r="I335" s="2" t="s">
        <v>58</v>
      </c>
      <c r="J335" s="2" t="s">
        <v>60</v>
      </c>
      <c r="K335" s="2" t="s">
        <v>48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45"/>
        <v>12578.85</v>
      </c>
      <c r="Q335" s="2" t="str">
        <f t="shared" si="46"/>
        <v>Yes</v>
      </c>
      <c r="R335" s="2" t="str">
        <f t="shared" si="47"/>
        <v>No</v>
      </c>
      <c r="S335" s="2" t="str">
        <f t="shared" si="48"/>
        <v>Yes</v>
      </c>
      <c r="T335" s="2" t="str">
        <f t="shared" si="49"/>
        <v>Normal</v>
      </c>
      <c r="U335" s="2" t="str">
        <f t="shared" si="50"/>
        <v>Yes</v>
      </c>
      <c r="V335" s="2" t="str">
        <f t="shared" si="51"/>
        <v>Yes</v>
      </c>
      <c r="W335" s="2" t="str">
        <f t="shared" si="52"/>
        <v>Regular</v>
      </c>
      <c r="X335" s="2" t="str">
        <f t="shared" si="53"/>
        <v>Discounted Bulk</v>
      </c>
    </row>
    <row r="336" spans="1:24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41</v>
      </c>
      <c r="F336" s="2" t="s">
        <v>42</v>
      </c>
      <c r="G336" s="2" t="s">
        <v>18</v>
      </c>
      <c r="H336" s="2" t="s">
        <v>36</v>
      </c>
      <c r="I336" s="2" t="s">
        <v>20</v>
      </c>
      <c r="J336" s="2" t="s">
        <v>44</v>
      </c>
      <c r="K336" s="2" t="s">
        <v>46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45"/>
        <v>16713.2</v>
      </c>
      <c r="Q336" s="2" t="str">
        <f t="shared" si="46"/>
        <v>Yes</v>
      </c>
      <c r="R336" s="2" t="str">
        <f t="shared" si="47"/>
        <v>No</v>
      </c>
      <c r="S336" s="2" t="str">
        <f t="shared" si="48"/>
        <v>Yes</v>
      </c>
      <c r="T336" s="2" t="str">
        <f t="shared" si="49"/>
        <v>Normal</v>
      </c>
      <c r="U336" s="2" t="str">
        <f t="shared" si="50"/>
        <v>No</v>
      </c>
      <c r="V336" s="2" t="str">
        <f t="shared" si="51"/>
        <v>No</v>
      </c>
      <c r="W336" s="2" t="str">
        <f t="shared" si="52"/>
        <v>Regular</v>
      </c>
      <c r="X336" s="2" t="str">
        <f t="shared" si="53"/>
        <v>Discounted Bulk</v>
      </c>
    </row>
    <row r="337" spans="1:24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17</v>
      </c>
      <c r="F337" s="2" t="s">
        <v>42</v>
      </c>
      <c r="G337" s="2" t="s">
        <v>25</v>
      </c>
      <c r="H337" s="2" t="s">
        <v>43</v>
      </c>
      <c r="I337" s="2" t="s">
        <v>20</v>
      </c>
      <c r="J337" s="2" t="s">
        <v>67</v>
      </c>
      <c r="K337" s="2" t="s">
        <v>34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45"/>
        <v>1126.5</v>
      </c>
      <c r="Q337" s="2" t="str">
        <f t="shared" si="46"/>
        <v>No</v>
      </c>
      <c r="R337" s="2" t="str">
        <f t="shared" si="47"/>
        <v>No</v>
      </c>
      <c r="S337" s="2" t="str">
        <f t="shared" si="48"/>
        <v>Yes</v>
      </c>
      <c r="T337" s="2" t="str">
        <f t="shared" si="49"/>
        <v>Special Attention</v>
      </c>
      <c r="U337" s="2" t="str">
        <f t="shared" si="50"/>
        <v>Yes</v>
      </c>
      <c r="V337" s="2" t="str">
        <f t="shared" si="51"/>
        <v>Yes</v>
      </c>
      <c r="W337" s="2" t="str">
        <f t="shared" si="52"/>
        <v>Regular</v>
      </c>
      <c r="X337" s="2" t="str">
        <f t="shared" si="53"/>
        <v>Discounted Bulk</v>
      </c>
    </row>
    <row r="338" spans="1:24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47</v>
      </c>
      <c r="F338" s="2" t="s">
        <v>39</v>
      </c>
      <c r="G338" s="2" t="s">
        <v>18</v>
      </c>
      <c r="H338" s="2" t="s">
        <v>26</v>
      </c>
      <c r="I338" s="2" t="s">
        <v>58</v>
      </c>
      <c r="J338" s="2" t="s">
        <v>63</v>
      </c>
      <c r="K338" s="2" t="s">
        <v>34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45"/>
        <v>24495.119999999999</v>
      </c>
      <c r="Q338" s="2" t="str">
        <f t="shared" si="46"/>
        <v>Yes</v>
      </c>
      <c r="R338" s="2" t="str">
        <f t="shared" si="47"/>
        <v>No</v>
      </c>
      <c r="S338" s="2" t="str">
        <f t="shared" si="48"/>
        <v>Yes</v>
      </c>
      <c r="T338" s="2" t="str">
        <f t="shared" si="49"/>
        <v>Normal</v>
      </c>
      <c r="U338" s="2" t="str">
        <f t="shared" si="50"/>
        <v>No</v>
      </c>
      <c r="V338" s="2" t="str">
        <f t="shared" si="51"/>
        <v>No</v>
      </c>
      <c r="W338" s="2" t="str">
        <f t="shared" si="52"/>
        <v>Regular</v>
      </c>
      <c r="X338" s="2" t="str">
        <f t="shared" si="53"/>
        <v>Non Discounted Bulk</v>
      </c>
    </row>
    <row r="339" spans="1:24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23</v>
      </c>
      <c r="F339" s="2" t="s">
        <v>30</v>
      </c>
      <c r="G339" s="2" t="s">
        <v>31</v>
      </c>
      <c r="H339" s="2" t="s">
        <v>43</v>
      </c>
      <c r="I339" s="2" t="s">
        <v>50</v>
      </c>
      <c r="J339" s="2" t="s">
        <v>51</v>
      </c>
      <c r="K339" s="2" t="s">
        <v>22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45"/>
        <v>1393.26</v>
      </c>
      <c r="Q339" s="2" t="str">
        <f t="shared" si="46"/>
        <v>No</v>
      </c>
      <c r="R339" s="2" t="str">
        <f t="shared" si="47"/>
        <v>No</v>
      </c>
      <c r="S339" s="2" t="str">
        <f t="shared" si="48"/>
        <v>No</v>
      </c>
      <c r="T339" s="2" t="str">
        <f t="shared" si="49"/>
        <v>Normal</v>
      </c>
      <c r="U339" s="2" t="str">
        <f t="shared" si="50"/>
        <v>No</v>
      </c>
      <c r="V339" s="2" t="str">
        <f t="shared" si="51"/>
        <v>No</v>
      </c>
      <c r="W339" s="2" t="str">
        <f t="shared" si="52"/>
        <v>Regular</v>
      </c>
      <c r="X339" s="2" t="str">
        <f t="shared" si="53"/>
        <v>Discounted Bulk</v>
      </c>
    </row>
    <row r="340" spans="1:24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16</v>
      </c>
      <c r="F340" s="2" t="s">
        <v>55</v>
      </c>
      <c r="G340" s="2" t="s">
        <v>18</v>
      </c>
      <c r="H340" s="2" t="s">
        <v>26</v>
      </c>
      <c r="I340" s="2" t="s">
        <v>32</v>
      </c>
      <c r="J340" s="2" t="s">
        <v>33</v>
      </c>
      <c r="K340" s="2" t="s">
        <v>22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45"/>
        <v>14834.04</v>
      </c>
      <c r="Q340" s="2" t="str">
        <f t="shared" si="46"/>
        <v>No</v>
      </c>
      <c r="R340" s="2" t="str">
        <f t="shared" si="47"/>
        <v>No</v>
      </c>
      <c r="S340" s="2" t="str">
        <f t="shared" si="48"/>
        <v>Yes</v>
      </c>
      <c r="T340" s="2" t="str">
        <f t="shared" si="49"/>
        <v>Normal</v>
      </c>
      <c r="U340" s="2" t="str">
        <f t="shared" si="50"/>
        <v>No</v>
      </c>
      <c r="V340" s="2" t="str">
        <f t="shared" si="51"/>
        <v>No</v>
      </c>
      <c r="W340" s="2" t="str">
        <f t="shared" si="52"/>
        <v>Regular</v>
      </c>
      <c r="X340" s="2" t="str">
        <f t="shared" si="53"/>
        <v>Discounted Bulk</v>
      </c>
    </row>
    <row r="341" spans="1:24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38</v>
      </c>
      <c r="F341" s="2" t="s">
        <v>30</v>
      </c>
      <c r="G341" s="2" t="s">
        <v>31</v>
      </c>
      <c r="H341" s="2" t="s">
        <v>43</v>
      </c>
      <c r="I341" s="2" t="s">
        <v>50</v>
      </c>
      <c r="J341" s="2" t="s">
        <v>51</v>
      </c>
      <c r="K341" s="2" t="s">
        <v>46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45"/>
        <v>12639.78</v>
      </c>
      <c r="Q341" s="2" t="str">
        <f t="shared" si="46"/>
        <v>Yes</v>
      </c>
      <c r="R341" s="2" t="str">
        <f t="shared" si="47"/>
        <v>Yes</v>
      </c>
      <c r="S341" s="2" t="str">
        <f t="shared" si="48"/>
        <v>No</v>
      </c>
      <c r="T341" s="2" t="str">
        <f t="shared" si="49"/>
        <v>Normal</v>
      </c>
      <c r="U341" s="2" t="str">
        <f t="shared" si="50"/>
        <v>No</v>
      </c>
      <c r="V341" s="2" t="str">
        <f t="shared" si="51"/>
        <v>No</v>
      </c>
      <c r="W341" s="2" t="str">
        <f t="shared" si="52"/>
        <v>Regular</v>
      </c>
      <c r="X341" s="2" t="str">
        <f t="shared" si="53"/>
        <v>Non Discounted Bulk</v>
      </c>
    </row>
    <row r="342" spans="1:24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17</v>
      </c>
      <c r="F342" s="2" t="s">
        <v>30</v>
      </c>
      <c r="G342" s="2" t="s">
        <v>18</v>
      </c>
      <c r="H342" s="2" t="s">
        <v>36</v>
      </c>
      <c r="I342" s="2" t="s">
        <v>50</v>
      </c>
      <c r="J342" s="2" t="s">
        <v>52</v>
      </c>
      <c r="K342" s="2" t="s">
        <v>29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45"/>
        <v>2567.7199999999998</v>
      </c>
      <c r="Q342" s="2" t="str">
        <f t="shared" si="46"/>
        <v>No</v>
      </c>
      <c r="R342" s="2" t="str">
        <f t="shared" si="47"/>
        <v>No</v>
      </c>
      <c r="S342" s="2" t="str">
        <f t="shared" si="48"/>
        <v>Yes</v>
      </c>
      <c r="T342" s="2" t="str">
        <f t="shared" si="49"/>
        <v>Normal</v>
      </c>
      <c r="U342" s="2" t="str">
        <f t="shared" si="50"/>
        <v>No</v>
      </c>
      <c r="V342" s="2" t="str">
        <f t="shared" si="51"/>
        <v>No</v>
      </c>
      <c r="W342" s="2" t="str">
        <f t="shared" si="52"/>
        <v>Regular</v>
      </c>
      <c r="X342" s="2" t="str">
        <f t="shared" si="53"/>
        <v>Discounted Bulk</v>
      </c>
    </row>
    <row r="343" spans="1:24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16</v>
      </c>
      <c r="F343" s="2" t="s">
        <v>55</v>
      </c>
      <c r="G343" s="2" t="s">
        <v>18</v>
      </c>
      <c r="H343" s="2" t="s">
        <v>36</v>
      </c>
      <c r="I343" s="2" t="s">
        <v>27</v>
      </c>
      <c r="J343" s="2" t="s">
        <v>28</v>
      </c>
      <c r="K343" s="2" t="s">
        <v>48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45"/>
        <v>9265.5499999999993</v>
      </c>
      <c r="Q343" s="2" t="str">
        <f t="shared" si="46"/>
        <v>No</v>
      </c>
      <c r="R343" s="2" t="str">
        <f t="shared" si="47"/>
        <v>No</v>
      </c>
      <c r="S343" s="2" t="str">
        <f t="shared" si="48"/>
        <v>Yes</v>
      </c>
      <c r="T343" s="2" t="str">
        <f t="shared" si="49"/>
        <v>Normal</v>
      </c>
      <c r="U343" s="2" t="str">
        <f t="shared" si="50"/>
        <v>No</v>
      </c>
      <c r="V343" s="2" t="str">
        <f t="shared" si="51"/>
        <v>No</v>
      </c>
      <c r="W343" s="2" t="str">
        <f t="shared" si="52"/>
        <v>Regular</v>
      </c>
      <c r="X343" s="2" t="str">
        <f t="shared" si="53"/>
        <v>Discounted Bulk</v>
      </c>
    </row>
    <row r="344" spans="1:24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47</v>
      </c>
      <c r="F344" s="2" t="s">
        <v>24</v>
      </c>
      <c r="G344" s="2" t="s">
        <v>18</v>
      </c>
      <c r="H344" s="2" t="s">
        <v>19</v>
      </c>
      <c r="I344" s="2" t="s">
        <v>50</v>
      </c>
      <c r="J344" s="2" t="s">
        <v>52</v>
      </c>
      <c r="K344" s="2" t="s">
        <v>22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45"/>
        <v>2194.5699999999997</v>
      </c>
      <c r="Q344" s="2" t="str">
        <f t="shared" si="46"/>
        <v>No</v>
      </c>
      <c r="R344" s="2" t="str">
        <f t="shared" si="47"/>
        <v>No</v>
      </c>
      <c r="S344" s="2" t="str">
        <f t="shared" si="48"/>
        <v>Yes</v>
      </c>
      <c r="T344" s="2" t="str">
        <f t="shared" si="49"/>
        <v>Normal</v>
      </c>
      <c r="U344" s="2" t="str">
        <f t="shared" si="50"/>
        <v>No</v>
      </c>
      <c r="V344" s="2" t="str">
        <f t="shared" si="51"/>
        <v>No</v>
      </c>
      <c r="W344" s="2" t="str">
        <f t="shared" si="52"/>
        <v>Regular</v>
      </c>
      <c r="X344" s="2" t="str">
        <f t="shared" si="53"/>
        <v>Discounted Bulk</v>
      </c>
    </row>
    <row r="345" spans="1:24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23</v>
      </c>
      <c r="F345" s="2" t="s">
        <v>30</v>
      </c>
      <c r="G345" s="2" t="s">
        <v>31</v>
      </c>
      <c r="H345" s="2" t="s">
        <v>45</v>
      </c>
      <c r="I345" s="2" t="s">
        <v>53</v>
      </c>
      <c r="J345" s="2" t="s">
        <v>57</v>
      </c>
      <c r="K345" s="2" t="s">
        <v>34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45"/>
        <v>11143.24</v>
      </c>
      <c r="Q345" s="2" t="str">
        <f t="shared" si="46"/>
        <v>No</v>
      </c>
      <c r="R345" s="2" t="str">
        <f t="shared" si="47"/>
        <v>No</v>
      </c>
      <c r="S345" s="2" t="str">
        <f t="shared" si="48"/>
        <v>No</v>
      </c>
      <c r="T345" s="2" t="str">
        <f t="shared" si="49"/>
        <v>Normal</v>
      </c>
      <c r="U345" s="2" t="str">
        <f t="shared" si="50"/>
        <v>No</v>
      </c>
      <c r="V345" s="2" t="str">
        <f t="shared" si="51"/>
        <v>No</v>
      </c>
      <c r="W345" s="2" t="str">
        <f t="shared" si="52"/>
        <v>Regular</v>
      </c>
      <c r="X345" s="2" t="str">
        <f t="shared" si="53"/>
        <v>Discounted Bulk</v>
      </c>
    </row>
    <row r="346" spans="1:24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35</v>
      </c>
      <c r="F346" s="2" t="s">
        <v>30</v>
      </c>
      <c r="G346" s="2" t="s">
        <v>31</v>
      </c>
      <c r="H346" s="2" t="s">
        <v>43</v>
      </c>
      <c r="I346" s="2" t="s">
        <v>27</v>
      </c>
      <c r="J346" s="2" t="s">
        <v>37</v>
      </c>
      <c r="K346" s="2" t="s">
        <v>46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45"/>
        <v>3625.42</v>
      </c>
      <c r="Q346" s="2" t="str">
        <f t="shared" si="46"/>
        <v>No</v>
      </c>
      <c r="R346" s="2" t="str">
        <f t="shared" si="47"/>
        <v>No</v>
      </c>
      <c r="S346" s="2" t="str">
        <f t="shared" si="48"/>
        <v>No</v>
      </c>
      <c r="T346" s="2" t="str">
        <f t="shared" si="49"/>
        <v>Normal</v>
      </c>
      <c r="U346" s="2" t="str">
        <f t="shared" si="50"/>
        <v>No</v>
      </c>
      <c r="V346" s="2" t="str">
        <f t="shared" si="51"/>
        <v>No</v>
      </c>
      <c r="W346" s="2" t="str">
        <f t="shared" si="52"/>
        <v>Regular</v>
      </c>
      <c r="X346" s="2" t="str">
        <f t="shared" si="53"/>
        <v>Discounted Bulk</v>
      </c>
    </row>
    <row r="347" spans="1:24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41</v>
      </c>
      <c r="F347" s="2" t="s">
        <v>24</v>
      </c>
      <c r="G347" s="2" t="s">
        <v>18</v>
      </c>
      <c r="H347" s="2" t="s">
        <v>19</v>
      </c>
      <c r="I347" s="2" t="s">
        <v>27</v>
      </c>
      <c r="J347" s="2" t="s">
        <v>37</v>
      </c>
      <c r="K347" s="2" t="s">
        <v>48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45"/>
        <v>30361.14</v>
      </c>
      <c r="Q347" s="2" t="str">
        <f t="shared" si="46"/>
        <v>Yes</v>
      </c>
      <c r="R347" s="2" t="str">
        <f t="shared" si="47"/>
        <v>Yes</v>
      </c>
      <c r="S347" s="2" t="str">
        <f t="shared" si="48"/>
        <v>Yes</v>
      </c>
      <c r="T347" s="2" t="str">
        <f t="shared" si="49"/>
        <v>Normal</v>
      </c>
      <c r="U347" s="2" t="str">
        <f t="shared" si="50"/>
        <v>No</v>
      </c>
      <c r="V347" s="2" t="str">
        <f t="shared" si="51"/>
        <v>No</v>
      </c>
      <c r="W347" s="2" t="str">
        <f t="shared" si="52"/>
        <v>Regular</v>
      </c>
      <c r="X347" s="2" t="str">
        <f t="shared" si="53"/>
        <v>Non Discounted Bulk</v>
      </c>
    </row>
    <row r="348" spans="1:24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16</v>
      </c>
      <c r="F348" s="2" t="s">
        <v>30</v>
      </c>
      <c r="G348" s="2" t="s">
        <v>25</v>
      </c>
      <c r="H348" s="2" t="s">
        <v>45</v>
      </c>
      <c r="I348" s="2" t="s">
        <v>20</v>
      </c>
      <c r="J348" s="2" t="s">
        <v>21</v>
      </c>
      <c r="K348" s="2" t="s">
        <v>46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45"/>
        <v>2561.48</v>
      </c>
      <c r="Q348" s="2" t="str">
        <f t="shared" si="46"/>
        <v>No</v>
      </c>
      <c r="R348" s="2" t="str">
        <f t="shared" si="47"/>
        <v>No</v>
      </c>
      <c r="S348" s="2" t="str">
        <f t="shared" si="48"/>
        <v>Yes</v>
      </c>
      <c r="T348" s="2" t="str">
        <f t="shared" si="49"/>
        <v>Normal</v>
      </c>
      <c r="U348" s="2" t="str">
        <f t="shared" si="50"/>
        <v>Yes</v>
      </c>
      <c r="V348" s="2" t="str">
        <f t="shared" si="51"/>
        <v>Yes</v>
      </c>
      <c r="W348" s="2" t="str">
        <f t="shared" si="52"/>
        <v>Regular</v>
      </c>
      <c r="X348" s="2" t="str">
        <f t="shared" si="53"/>
        <v>Discounted Bulk</v>
      </c>
    </row>
    <row r="349" spans="1:24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16</v>
      </c>
      <c r="F349" s="2" t="s">
        <v>30</v>
      </c>
      <c r="G349" s="2" t="s">
        <v>18</v>
      </c>
      <c r="H349" s="2" t="s">
        <v>43</v>
      </c>
      <c r="I349" s="2" t="s">
        <v>50</v>
      </c>
      <c r="J349" s="2" t="s">
        <v>69</v>
      </c>
      <c r="K349" s="2" t="s">
        <v>48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45"/>
        <v>5725.26</v>
      </c>
      <c r="Q349" s="2" t="str">
        <f t="shared" si="46"/>
        <v>No</v>
      </c>
      <c r="R349" s="2" t="str">
        <f t="shared" si="47"/>
        <v>Yes</v>
      </c>
      <c r="S349" s="2" t="str">
        <f t="shared" si="48"/>
        <v>Yes</v>
      </c>
      <c r="T349" s="2" t="str">
        <f t="shared" si="49"/>
        <v>Normal</v>
      </c>
      <c r="U349" s="2" t="str">
        <f t="shared" si="50"/>
        <v>No</v>
      </c>
      <c r="V349" s="2" t="str">
        <f t="shared" si="51"/>
        <v>No</v>
      </c>
      <c r="W349" s="2" t="str">
        <f t="shared" si="52"/>
        <v>Regular</v>
      </c>
      <c r="X349" s="2" t="str">
        <f t="shared" si="53"/>
        <v>Non Discounted Bulk</v>
      </c>
    </row>
    <row r="350" spans="1:24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35</v>
      </c>
      <c r="F350" s="2" t="s">
        <v>30</v>
      </c>
      <c r="G350" s="2" t="s">
        <v>31</v>
      </c>
      <c r="H350" s="2" t="s">
        <v>26</v>
      </c>
      <c r="I350" s="2" t="s">
        <v>20</v>
      </c>
      <c r="J350" s="2" t="s">
        <v>56</v>
      </c>
      <c r="K350" s="2" t="s">
        <v>48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45"/>
        <v>19690.32</v>
      </c>
      <c r="Q350" s="2" t="str">
        <f t="shared" si="46"/>
        <v>Yes</v>
      </c>
      <c r="R350" s="2" t="str">
        <f t="shared" si="47"/>
        <v>No</v>
      </c>
      <c r="S350" s="2" t="str">
        <f t="shared" si="48"/>
        <v>No</v>
      </c>
      <c r="T350" s="2" t="str">
        <f t="shared" si="49"/>
        <v>Normal</v>
      </c>
      <c r="U350" s="2" t="str">
        <f t="shared" si="50"/>
        <v>No</v>
      </c>
      <c r="V350" s="2" t="str">
        <f t="shared" si="51"/>
        <v>No</v>
      </c>
      <c r="W350" s="2" t="str">
        <f t="shared" si="52"/>
        <v>Regular</v>
      </c>
      <c r="X350" s="2" t="str">
        <f t="shared" si="53"/>
        <v>Discounted Bulk</v>
      </c>
    </row>
    <row r="351" spans="1:24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16</v>
      </c>
      <c r="F351" s="2" t="s">
        <v>42</v>
      </c>
      <c r="G351" s="2" t="s">
        <v>18</v>
      </c>
      <c r="H351" s="2" t="s">
        <v>45</v>
      </c>
      <c r="I351" s="2" t="s">
        <v>58</v>
      </c>
      <c r="J351" s="2" t="s">
        <v>63</v>
      </c>
      <c r="K351" s="2" t="s">
        <v>22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45"/>
        <v>3708.38</v>
      </c>
      <c r="Q351" s="2" t="str">
        <f t="shared" si="46"/>
        <v>No</v>
      </c>
      <c r="R351" s="2" t="str">
        <f t="shared" si="47"/>
        <v>No</v>
      </c>
      <c r="S351" s="2" t="str">
        <f t="shared" si="48"/>
        <v>Yes</v>
      </c>
      <c r="T351" s="2" t="str">
        <f t="shared" si="49"/>
        <v>Normal</v>
      </c>
      <c r="U351" s="2" t="str">
        <f t="shared" si="50"/>
        <v>No</v>
      </c>
      <c r="V351" s="2" t="str">
        <f t="shared" si="51"/>
        <v>No</v>
      </c>
      <c r="W351" s="2" t="str">
        <f t="shared" si="52"/>
        <v>Regular</v>
      </c>
      <c r="X351" s="2" t="str">
        <f t="shared" si="53"/>
        <v>Discounted Bulk</v>
      </c>
    </row>
    <row r="352" spans="1:24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47</v>
      </c>
      <c r="F352" s="2" t="s">
        <v>17</v>
      </c>
      <c r="G352" s="2" t="s">
        <v>31</v>
      </c>
      <c r="H352" s="2" t="s">
        <v>36</v>
      </c>
      <c r="I352" s="2" t="s">
        <v>32</v>
      </c>
      <c r="J352" s="2" t="s">
        <v>33</v>
      </c>
      <c r="K352" s="2" t="s">
        <v>46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45"/>
        <v>5770.74</v>
      </c>
      <c r="Q352" s="2" t="str">
        <f t="shared" si="46"/>
        <v>No</v>
      </c>
      <c r="R352" s="2" t="str">
        <f t="shared" si="47"/>
        <v>No</v>
      </c>
      <c r="S352" s="2" t="str">
        <f t="shared" si="48"/>
        <v>No</v>
      </c>
      <c r="T352" s="2" t="str">
        <f t="shared" si="49"/>
        <v>Normal</v>
      </c>
      <c r="U352" s="2" t="str">
        <f t="shared" si="50"/>
        <v>No</v>
      </c>
      <c r="V352" s="2" t="str">
        <f t="shared" si="51"/>
        <v>No</v>
      </c>
      <c r="W352" s="2" t="str">
        <f t="shared" si="52"/>
        <v>Regular</v>
      </c>
      <c r="X352" s="2" t="str">
        <f t="shared" si="53"/>
        <v>Discounted Bulk</v>
      </c>
    </row>
    <row r="353" spans="1:24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47</v>
      </c>
      <c r="F353" s="2" t="s">
        <v>24</v>
      </c>
      <c r="G353" s="2" t="s">
        <v>31</v>
      </c>
      <c r="H353" s="2" t="s">
        <v>19</v>
      </c>
      <c r="I353" s="2" t="s">
        <v>27</v>
      </c>
      <c r="J353" s="2" t="s">
        <v>37</v>
      </c>
      <c r="K353" s="2" t="s">
        <v>46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45"/>
        <v>4142.08</v>
      </c>
      <c r="Q353" s="2" t="str">
        <f t="shared" si="46"/>
        <v>No</v>
      </c>
      <c r="R353" s="2" t="str">
        <f t="shared" si="47"/>
        <v>No</v>
      </c>
      <c r="S353" s="2" t="str">
        <f t="shared" si="48"/>
        <v>No</v>
      </c>
      <c r="T353" s="2" t="str">
        <f t="shared" si="49"/>
        <v>Normal</v>
      </c>
      <c r="U353" s="2" t="str">
        <f t="shared" si="50"/>
        <v>No</v>
      </c>
      <c r="V353" s="2" t="str">
        <f t="shared" si="51"/>
        <v>No</v>
      </c>
      <c r="W353" s="2" t="str">
        <f t="shared" si="52"/>
        <v>Regular</v>
      </c>
      <c r="X353" s="2" t="str">
        <f t="shared" si="53"/>
        <v>Discounted Bulk</v>
      </c>
    </row>
    <row r="354" spans="1:24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35</v>
      </c>
      <c r="F354" s="2" t="s">
        <v>30</v>
      </c>
      <c r="G354" s="2" t="s">
        <v>31</v>
      </c>
      <c r="H354" s="2" t="s">
        <v>45</v>
      </c>
      <c r="I354" s="2" t="s">
        <v>58</v>
      </c>
      <c r="J354" s="2" t="s">
        <v>68</v>
      </c>
      <c r="K354" s="2" t="s">
        <v>34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45"/>
        <v>12377.789999999999</v>
      </c>
      <c r="Q354" s="2" t="str">
        <f t="shared" si="46"/>
        <v>Yes</v>
      </c>
      <c r="R354" s="2" t="str">
        <f t="shared" si="47"/>
        <v>Yes</v>
      </c>
      <c r="S354" s="2" t="str">
        <f t="shared" si="48"/>
        <v>No</v>
      </c>
      <c r="T354" s="2" t="str">
        <f t="shared" si="49"/>
        <v>Normal</v>
      </c>
      <c r="U354" s="2" t="str">
        <f t="shared" si="50"/>
        <v>No</v>
      </c>
      <c r="V354" s="2" t="str">
        <f t="shared" si="51"/>
        <v>No</v>
      </c>
      <c r="W354" s="2" t="str">
        <f t="shared" si="52"/>
        <v>Regular</v>
      </c>
      <c r="X354" s="2" t="str">
        <f t="shared" si="53"/>
        <v>Non Discounted Bulk</v>
      </c>
    </row>
    <row r="355" spans="1:24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41</v>
      </c>
      <c r="F355" s="2" t="s">
        <v>42</v>
      </c>
      <c r="G355" s="2" t="s">
        <v>18</v>
      </c>
      <c r="H355" s="2" t="s">
        <v>45</v>
      </c>
      <c r="I355" s="2" t="s">
        <v>58</v>
      </c>
      <c r="J355" s="2" t="s">
        <v>59</v>
      </c>
      <c r="K355" s="2" t="s">
        <v>34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45"/>
        <v>3592.92</v>
      </c>
      <c r="Q355" s="2" t="str">
        <f t="shared" si="46"/>
        <v>No</v>
      </c>
      <c r="R355" s="2" t="str">
        <f t="shared" si="47"/>
        <v>No</v>
      </c>
      <c r="S355" s="2" t="str">
        <f t="shared" si="48"/>
        <v>Yes</v>
      </c>
      <c r="T355" s="2" t="str">
        <f t="shared" si="49"/>
        <v>Normal</v>
      </c>
      <c r="U355" s="2" t="str">
        <f t="shared" si="50"/>
        <v>No</v>
      </c>
      <c r="V355" s="2" t="str">
        <f t="shared" si="51"/>
        <v>No</v>
      </c>
      <c r="W355" s="2" t="str">
        <f t="shared" si="52"/>
        <v>Regular</v>
      </c>
      <c r="X355" s="2" t="str">
        <f t="shared" si="53"/>
        <v>Discounted Bulk</v>
      </c>
    </row>
    <row r="356" spans="1:24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38</v>
      </c>
      <c r="F356" s="2" t="s">
        <v>24</v>
      </c>
      <c r="G356" s="2" t="s">
        <v>31</v>
      </c>
      <c r="H356" s="2" t="s">
        <v>36</v>
      </c>
      <c r="I356" s="2" t="s">
        <v>53</v>
      </c>
      <c r="J356" s="2" t="s">
        <v>54</v>
      </c>
      <c r="K356" s="2" t="s">
        <v>22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45"/>
        <v>23695.920000000002</v>
      </c>
      <c r="Q356" s="2" t="str">
        <f t="shared" si="46"/>
        <v>Yes</v>
      </c>
      <c r="R356" s="2" t="str">
        <f t="shared" si="47"/>
        <v>No</v>
      </c>
      <c r="S356" s="2" t="str">
        <f t="shared" si="48"/>
        <v>No</v>
      </c>
      <c r="T356" s="2" t="str">
        <f t="shared" si="49"/>
        <v>Normal</v>
      </c>
      <c r="U356" s="2" t="str">
        <f t="shared" si="50"/>
        <v>No</v>
      </c>
      <c r="V356" s="2" t="str">
        <f t="shared" si="51"/>
        <v>No</v>
      </c>
      <c r="W356" s="2" t="str">
        <f t="shared" si="52"/>
        <v>Premium</v>
      </c>
      <c r="X356" s="2" t="str">
        <f t="shared" si="53"/>
        <v>Non Discounted Bulk</v>
      </c>
    </row>
    <row r="357" spans="1:24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17</v>
      </c>
      <c r="F357" s="2" t="s">
        <v>39</v>
      </c>
      <c r="G357" s="2" t="s">
        <v>31</v>
      </c>
      <c r="H357" s="2" t="s">
        <v>43</v>
      </c>
      <c r="I357" s="2" t="s">
        <v>32</v>
      </c>
      <c r="J357" s="2" t="s">
        <v>49</v>
      </c>
      <c r="K357" s="2" t="s">
        <v>22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45"/>
        <v>11337.93</v>
      </c>
      <c r="Q357" s="2" t="str">
        <f t="shared" si="46"/>
        <v>No</v>
      </c>
      <c r="R357" s="2" t="str">
        <f t="shared" si="47"/>
        <v>Yes</v>
      </c>
      <c r="S357" s="2" t="str">
        <f t="shared" si="48"/>
        <v>No</v>
      </c>
      <c r="T357" s="2" t="str">
        <f t="shared" si="49"/>
        <v>Normal</v>
      </c>
      <c r="U357" s="2" t="str">
        <f t="shared" si="50"/>
        <v>No</v>
      </c>
      <c r="V357" s="2" t="str">
        <f t="shared" si="51"/>
        <v>No</v>
      </c>
      <c r="W357" s="2" t="str">
        <f t="shared" si="52"/>
        <v>Regular</v>
      </c>
      <c r="X357" s="2" t="str">
        <f t="shared" si="53"/>
        <v>Non Discounted Bulk</v>
      </c>
    </row>
    <row r="358" spans="1:24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38</v>
      </c>
      <c r="F358" s="2" t="s">
        <v>39</v>
      </c>
      <c r="G358" s="2" t="s">
        <v>18</v>
      </c>
      <c r="H358" s="2" t="s">
        <v>26</v>
      </c>
      <c r="I358" s="2" t="s">
        <v>58</v>
      </c>
      <c r="J358" s="2" t="s">
        <v>59</v>
      </c>
      <c r="K358" s="2" t="s">
        <v>29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45"/>
        <v>10402.48</v>
      </c>
      <c r="Q358" s="2" t="str">
        <f t="shared" si="46"/>
        <v>Yes</v>
      </c>
      <c r="R358" s="2" t="str">
        <f t="shared" si="47"/>
        <v>No</v>
      </c>
      <c r="S358" s="2" t="str">
        <f t="shared" si="48"/>
        <v>Yes</v>
      </c>
      <c r="T358" s="2" t="str">
        <f t="shared" si="49"/>
        <v>Normal</v>
      </c>
      <c r="U358" s="2" t="str">
        <f t="shared" si="50"/>
        <v>No</v>
      </c>
      <c r="V358" s="2" t="str">
        <f t="shared" si="51"/>
        <v>No</v>
      </c>
      <c r="W358" s="2" t="str">
        <f t="shared" si="52"/>
        <v>Regular</v>
      </c>
      <c r="X358" s="2" t="str">
        <f t="shared" si="53"/>
        <v>Discounted Bulk</v>
      </c>
    </row>
    <row r="359" spans="1:24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16</v>
      </c>
      <c r="F359" s="2" t="s">
        <v>30</v>
      </c>
      <c r="G359" s="2" t="s">
        <v>31</v>
      </c>
      <c r="H359" s="2" t="s">
        <v>36</v>
      </c>
      <c r="I359" s="2" t="s">
        <v>58</v>
      </c>
      <c r="J359" s="2" t="s">
        <v>59</v>
      </c>
      <c r="K359" s="2" t="s">
        <v>34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45"/>
        <v>28648.959999999999</v>
      </c>
      <c r="Q359" s="2" t="str">
        <f t="shared" si="46"/>
        <v>Yes</v>
      </c>
      <c r="R359" s="2" t="str">
        <f t="shared" si="47"/>
        <v>Yes</v>
      </c>
      <c r="S359" s="2" t="str">
        <f t="shared" si="48"/>
        <v>No</v>
      </c>
      <c r="T359" s="2" t="str">
        <f t="shared" si="49"/>
        <v>Normal</v>
      </c>
      <c r="U359" s="2" t="str">
        <f t="shared" si="50"/>
        <v>No</v>
      </c>
      <c r="V359" s="2" t="str">
        <f t="shared" si="51"/>
        <v>No</v>
      </c>
      <c r="W359" s="2" t="str">
        <f t="shared" si="52"/>
        <v>Regular</v>
      </c>
      <c r="X359" s="2" t="str">
        <f t="shared" si="53"/>
        <v>Non Discounted Bulk</v>
      </c>
    </row>
    <row r="360" spans="1:24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17</v>
      </c>
      <c r="F360" s="2" t="s">
        <v>42</v>
      </c>
      <c r="G360" s="2" t="s">
        <v>18</v>
      </c>
      <c r="H360" s="2" t="s">
        <v>26</v>
      </c>
      <c r="I360" s="2" t="s">
        <v>32</v>
      </c>
      <c r="J360" s="2" t="s">
        <v>49</v>
      </c>
      <c r="K360" s="2" t="s">
        <v>48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45"/>
        <v>202.49</v>
      </c>
      <c r="Q360" s="2" t="str">
        <f t="shared" si="46"/>
        <v>No</v>
      </c>
      <c r="R360" s="2" t="str">
        <f t="shared" si="47"/>
        <v>No</v>
      </c>
      <c r="S360" s="2" t="str">
        <f t="shared" si="48"/>
        <v>Yes</v>
      </c>
      <c r="T360" s="2" t="str">
        <f t="shared" si="49"/>
        <v>Special Attention</v>
      </c>
      <c r="U360" s="2" t="str">
        <f t="shared" si="50"/>
        <v>No</v>
      </c>
      <c r="V360" s="2" t="str">
        <f t="shared" si="51"/>
        <v>No</v>
      </c>
      <c r="W360" s="2" t="str">
        <f t="shared" si="52"/>
        <v>Regular</v>
      </c>
      <c r="X360" s="2" t="str">
        <f t="shared" si="53"/>
        <v>Discounted Bulk</v>
      </c>
    </row>
    <row r="361" spans="1:24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35</v>
      </c>
      <c r="F361" s="2" t="s">
        <v>42</v>
      </c>
      <c r="G361" s="2" t="s">
        <v>31</v>
      </c>
      <c r="H361" s="2" t="s">
        <v>43</v>
      </c>
      <c r="I361" s="2" t="s">
        <v>32</v>
      </c>
      <c r="J361" s="2" t="s">
        <v>33</v>
      </c>
      <c r="K361" s="2" t="s">
        <v>46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45"/>
        <v>11140</v>
      </c>
      <c r="Q361" s="2" t="str">
        <f t="shared" si="46"/>
        <v>No</v>
      </c>
      <c r="R361" s="2" t="str">
        <f t="shared" si="47"/>
        <v>Yes</v>
      </c>
      <c r="S361" s="2" t="str">
        <f t="shared" si="48"/>
        <v>No</v>
      </c>
      <c r="T361" s="2" t="str">
        <f t="shared" si="49"/>
        <v>Normal</v>
      </c>
      <c r="U361" s="2" t="str">
        <f t="shared" si="50"/>
        <v>No</v>
      </c>
      <c r="V361" s="2" t="str">
        <f t="shared" si="51"/>
        <v>No</v>
      </c>
      <c r="W361" s="2" t="str">
        <f t="shared" si="52"/>
        <v>Regular</v>
      </c>
      <c r="X361" s="2" t="str">
        <f t="shared" si="53"/>
        <v>Non Discounted Bulk</v>
      </c>
    </row>
    <row r="362" spans="1:24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35</v>
      </c>
      <c r="F362" s="2" t="s">
        <v>24</v>
      </c>
      <c r="G362" s="2" t="s">
        <v>25</v>
      </c>
      <c r="H362" s="2" t="s">
        <v>45</v>
      </c>
      <c r="I362" s="2" t="s">
        <v>58</v>
      </c>
      <c r="J362" s="2" t="s">
        <v>60</v>
      </c>
      <c r="K362" s="2" t="s">
        <v>22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45"/>
        <v>6852.8099999999995</v>
      </c>
      <c r="Q362" s="2" t="str">
        <f t="shared" si="46"/>
        <v>No</v>
      </c>
      <c r="R362" s="2" t="str">
        <f t="shared" si="47"/>
        <v>No</v>
      </c>
      <c r="S362" s="2" t="str">
        <f t="shared" si="48"/>
        <v>Yes</v>
      </c>
      <c r="T362" s="2" t="str">
        <f t="shared" si="49"/>
        <v>Normal</v>
      </c>
      <c r="U362" s="2" t="str">
        <f t="shared" si="50"/>
        <v>Yes</v>
      </c>
      <c r="V362" s="2" t="str">
        <f t="shared" si="51"/>
        <v>Yes</v>
      </c>
      <c r="W362" s="2" t="str">
        <f t="shared" si="52"/>
        <v>Regular</v>
      </c>
      <c r="X362" s="2" t="str">
        <f t="shared" si="53"/>
        <v>Discounted Bulk</v>
      </c>
    </row>
    <row r="363" spans="1:24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41</v>
      </c>
      <c r="F363" s="2" t="s">
        <v>24</v>
      </c>
      <c r="G363" s="2" t="s">
        <v>25</v>
      </c>
      <c r="H363" s="2" t="s">
        <v>26</v>
      </c>
      <c r="I363" s="2" t="s">
        <v>32</v>
      </c>
      <c r="J363" s="2" t="s">
        <v>49</v>
      </c>
      <c r="K363" s="2" t="s">
        <v>46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45"/>
        <v>5044.4799999999996</v>
      </c>
      <c r="Q363" s="2" t="str">
        <f t="shared" si="46"/>
        <v>No</v>
      </c>
      <c r="R363" s="2" t="str">
        <f t="shared" si="47"/>
        <v>No</v>
      </c>
      <c r="S363" s="2" t="str">
        <f t="shared" si="48"/>
        <v>Yes</v>
      </c>
      <c r="T363" s="2" t="str">
        <f t="shared" si="49"/>
        <v>Normal</v>
      </c>
      <c r="U363" s="2" t="str">
        <f t="shared" si="50"/>
        <v>Yes</v>
      </c>
      <c r="V363" s="2" t="str">
        <f t="shared" si="51"/>
        <v>Yes</v>
      </c>
      <c r="W363" s="2" t="str">
        <f t="shared" si="52"/>
        <v>Regular</v>
      </c>
      <c r="X363" s="2" t="str">
        <f t="shared" si="53"/>
        <v>Discounted Bulk</v>
      </c>
    </row>
    <row r="364" spans="1:24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17</v>
      </c>
      <c r="F364" s="2" t="s">
        <v>42</v>
      </c>
      <c r="G364" s="2" t="s">
        <v>31</v>
      </c>
      <c r="H364" s="2" t="s">
        <v>19</v>
      </c>
      <c r="I364" s="2" t="s">
        <v>58</v>
      </c>
      <c r="J364" s="2" t="s">
        <v>63</v>
      </c>
      <c r="K364" s="2" t="s">
        <v>46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45"/>
        <v>504.58</v>
      </c>
      <c r="Q364" s="2" t="str">
        <f t="shared" si="46"/>
        <v>No</v>
      </c>
      <c r="R364" s="2" t="str">
        <f t="shared" si="47"/>
        <v>No</v>
      </c>
      <c r="S364" s="2" t="str">
        <f t="shared" si="48"/>
        <v>No</v>
      </c>
      <c r="T364" s="2" t="str">
        <f t="shared" si="49"/>
        <v>Special Attention</v>
      </c>
      <c r="U364" s="2" t="str">
        <f t="shared" si="50"/>
        <v>No</v>
      </c>
      <c r="V364" s="2" t="str">
        <f t="shared" si="51"/>
        <v>No</v>
      </c>
      <c r="W364" s="2" t="str">
        <f t="shared" si="52"/>
        <v>Regular</v>
      </c>
      <c r="X364" s="2" t="str">
        <f t="shared" si="53"/>
        <v>Discounted Bulk</v>
      </c>
    </row>
    <row r="365" spans="1:24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47</v>
      </c>
      <c r="F365" s="2" t="s">
        <v>24</v>
      </c>
      <c r="G365" s="2" t="s">
        <v>25</v>
      </c>
      <c r="H365" s="2" t="s">
        <v>19</v>
      </c>
      <c r="I365" s="2" t="s">
        <v>58</v>
      </c>
      <c r="J365" s="2" t="s">
        <v>68</v>
      </c>
      <c r="K365" s="2" t="s">
        <v>29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45"/>
        <v>3288.81</v>
      </c>
      <c r="Q365" s="2" t="str">
        <f t="shared" si="46"/>
        <v>No</v>
      </c>
      <c r="R365" s="2" t="str">
        <f t="shared" si="47"/>
        <v>No</v>
      </c>
      <c r="S365" s="2" t="str">
        <f t="shared" si="48"/>
        <v>Yes</v>
      </c>
      <c r="T365" s="2" t="str">
        <f t="shared" si="49"/>
        <v>Normal</v>
      </c>
      <c r="U365" s="2" t="str">
        <f t="shared" si="50"/>
        <v>Yes</v>
      </c>
      <c r="V365" s="2" t="str">
        <f t="shared" si="51"/>
        <v>Yes</v>
      </c>
      <c r="W365" s="2" t="str">
        <f t="shared" si="52"/>
        <v>Regular</v>
      </c>
      <c r="X365" s="2" t="str">
        <f t="shared" si="53"/>
        <v>Discounted Bulk</v>
      </c>
    </row>
    <row r="366" spans="1:24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17</v>
      </c>
      <c r="F366" s="2" t="s">
        <v>42</v>
      </c>
      <c r="G366" s="2" t="s">
        <v>18</v>
      </c>
      <c r="H366" s="2" t="s">
        <v>36</v>
      </c>
      <c r="I366" s="2" t="s">
        <v>53</v>
      </c>
      <c r="J366" s="2" t="s">
        <v>54</v>
      </c>
      <c r="K366" s="2" t="s">
        <v>34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45"/>
        <v>17967.3</v>
      </c>
      <c r="Q366" s="2" t="str">
        <f t="shared" si="46"/>
        <v>Yes</v>
      </c>
      <c r="R366" s="2" t="str">
        <f t="shared" si="47"/>
        <v>No</v>
      </c>
      <c r="S366" s="2" t="str">
        <f t="shared" si="48"/>
        <v>Yes</v>
      </c>
      <c r="T366" s="2" t="str">
        <f t="shared" si="49"/>
        <v>Normal</v>
      </c>
      <c r="U366" s="2" t="str">
        <f t="shared" si="50"/>
        <v>No</v>
      </c>
      <c r="V366" s="2" t="str">
        <f t="shared" si="51"/>
        <v>No</v>
      </c>
      <c r="W366" s="2" t="str">
        <f t="shared" si="52"/>
        <v>Regular</v>
      </c>
      <c r="X366" s="2" t="str">
        <f t="shared" si="53"/>
        <v>Discounted Bulk</v>
      </c>
    </row>
    <row r="367" spans="1:24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16</v>
      </c>
      <c r="F367" s="2" t="s">
        <v>17</v>
      </c>
      <c r="G367" s="2" t="s">
        <v>25</v>
      </c>
      <c r="H367" s="2" t="s">
        <v>43</v>
      </c>
      <c r="I367" s="2" t="s">
        <v>50</v>
      </c>
      <c r="J367" s="2" t="s">
        <v>64</v>
      </c>
      <c r="K367" s="2" t="s">
        <v>22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45"/>
        <v>16604.400000000001</v>
      </c>
      <c r="Q367" s="2" t="str">
        <f t="shared" si="46"/>
        <v>Yes</v>
      </c>
      <c r="R367" s="2" t="str">
        <f t="shared" si="47"/>
        <v>No</v>
      </c>
      <c r="S367" s="2" t="str">
        <f t="shared" si="48"/>
        <v>Yes</v>
      </c>
      <c r="T367" s="2" t="str">
        <f t="shared" si="49"/>
        <v>Normal</v>
      </c>
      <c r="U367" s="2" t="str">
        <f t="shared" si="50"/>
        <v>Yes</v>
      </c>
      <c r="V367" s="2" t="str">
        <f t="shared" si="51"/>
        <v>Yes</v>
      </c>
      <c r="W367" s="2" t="str">
        <f t="shared" si="52"/>
        <v>Premium</v>
      </c>
      <c r="X367" s="2" t="str">
        <f t="shared" si="53"/>
        <v>Discounted Bulk</v>
      </c>
    </row>
    <row r="368" spans="1:24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47</v>
      </c>
      <c r="F368" s="2" t="s">
        <v>42</v>
      </c>
      <c r="G368" s="2" t="s">
        <v>31</v>
      </c>
      <c r="H368" s="2" t="s">
        <v>36</v>
      </c>
      <c r="I368" s="2" t="s">
        <v>58</v>
      </c>
      <c r="J368" s="2" t="s">
        <v>63</v>
      </c>
      <c r="K368" s="2" t="s">
        <v>46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45"/>
        <v>28882.639999999999</v>
      </c>
      <c r="Q368" s="2" t="str">
        <f t="shared" si="46"/>
        <v>Yes</v>
      </c>
      <c r="R368" s="2" t="str">
        <f t="shared" si="47"/>
        <v>No</v>
      </c>
      <c r="S368" s="2" t="str">
        <f t="shared" si="48"/>
        <v>No</v>
      </c>
      <c r="T368" s="2" t="str">
        <f t="shared" si="49"/>
        <v>Normal</v>
      </c>
      <c r="U368" s="2" t="str">
        <f t="shared" si="50"/>
        <v>No</v>
      </c>
      <c r="V368" s="2" t="str">
        <f t="shared" si="51"/>
        <v>No</v>
      </c>
      <c r="W368" s="2" t="str">
        <f t="shared" si="52"/>
        <v>Regular</v>
      </c>
      <c r="X368" s="2" t="str">
        <f t="shared" si="53"/>
        <v>Non Discounted Bulk</v>
      </c>
    </row>
    <row r="369" spans="1:24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23</v>
      </c>
      <c r="F369" s="2" t="s">
        <v>39</v>
      </c>
      <c r="G369" s="2" t="s">
        <v>31</v>
      </c>
      <c r="H369" s="2" t="s">
        <v>36</v>
      </c>
      <c r="I369" s="2" t="s">
        <v>20</v>
      </c>
      <c r="J369" s="2" t="s">
        <v>21</v>
      </c>
      <c r="K369" s="2" t="s">
        <v>22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45"/>
        <v>15956.36</v>
      </c>
      <c r="Q369" s="2" t="str">
        <f t="shared" si="46"/>
        <v>Yes</v>
      </c>
      <c r="R369" s="2" t="str">
        <f t="shared" si="47"/>
        <v>No</v>
      </c>
      <c r="S369" s="2" t="str">
        <f t="shared" si="48"/>
        <v>No</v>
      </c>
      <c r="T369" s="2" t="str">
        <f t="shared" si="49"/>
        <v>Normal</v>
      </c>
      <c r="U369" s="2" t="str">
        <f t="shared" si="50"/>
        <v>No</v>
      </c>
      <c r="V369" s="2" t="str">
        <f t="shared" si="51"/>
        <v>No</v>
      </c>
      <c r="W369" s="2" t="str">
        <f t="shared" si="52"/>
        <v>Regular</v>
      </c>
      <c r="X369" s="2" t="str">
        <f t="shared" si="53"/>
        <v>Discounted Bulk</v>
      </c>
    </row>
    <row r="370" spans="1:24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23</v>
      </c>
      <c r="F370" s="2" t="s">
        <v>24</v>
      </c>
      <c r="G370" s="2" t="s">
        <v>18</v>
      </c>
      <c r="H370" s="2" t="s">
        <v>36</v>
      </c>
      <c r="I370" s="2" t="s">
        <v>27</v>
      </c>
      <c r="J370" s="2" t="s">
        <v>37</v>
      </c>
      <c r="K370" s="2" t="s">
        <v>48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45"/>
        <v>26217.52</v>
      </c>
      <c r="Q370" s="2" t="str">
        <f t="shared" si="46"/>
        <v>Yes</v>
      </c>
      <c r="R370" s="2" t="str">
        <f t="shared" si="47"/>
        <v>Yes</v>
      </c>
      <c r="S370" s="2" t="str">
        <f t="shared" si="48"/>
        <v>Yes</v>
      </c>
      <c r="T370" s="2" t="str">
        <f t="shared" si="49"/>
        <v>Normal</v>
      </c>
      <c r="U370" s="2" t="str">
        <f t="shared" si="50"/>
        <v>No</v>
      </c>
      <c r="V370" s="2" t="str">
        <f t="shared" si="51"/>
        <v>No</v>
      </c>
      <c r="W370" s="2" t="str">
        <f t="shared" si="52"/>
        <v>Regular</v>
      </c>
      <c r="X370" s="2" t="str">
        <f t="shared" si="53"/>
        <v>Non Discounted Bulk</v>
      </c>
    </row>
    <row r="371" spans="1:24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23</v>
      </c>
      <c r="F371" s="2" t="s">
        <v>42</v>
      </c>
      <c r="G371" s="2" t="s">
        <v>31</v>
      </c>
      <c r="H371" s="2" t="s">
        <v>19</v>
      </c>
      <c r="I371" s="2" t="s">
        <v>50</v>
      </c>
      <c r="J371" s="2" t="s">
        <v>64</v>
      </c>
      <c r="K371" s="2" t="s">
        <v>29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45"/>
        <v>9771.36</v>
      </c>
      <c r="Q371" s="2" t="str">
        <f t="shared" si="46"/>
        <v>No</v>
      </c>
      <c r="R371" s="2" t="str">
        <f t="shared" si="47"/>
        <v>No</v>
      </c>
      <c r="S371" s="2" t="str">
        <f t="shared" si="48"/>
        <v>No</v>
      </c>
      <c r="T371" s="2" t="str">
        <f t="shared" si="49"/>
        <v>Normal</v>
      </c>
      <c r="U371" s="2" t="str">
        <f t="shared" si="50"/>
        <v>No</v>
      </c>
      <c r="V371" s="2" t="str">
        <f t="shared" si="51"/>
        <v>No</v>
      </c>
      <c r="W371" s="2" t="str">
        <f t="shared" si="52"/>
        <v>Regular</v>
      </c>
      <c r="X371" s="2" t="str">
        <f t="shared" si="53"/>
        <v>Discounted Bulk</v>
      </c>
    </row>
    <row r="372" spans="1:24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35</v>
      </c>
      <c r="F372" s="2" t="s">
        <v>42</v>
      </c>
      <c r="G372" s="2" t="s">
        <v>18</v>
      </c>
      <c r="H372" s="2" t="s">
        <v>19</v>
      </c>
      <c r="I372" s="2" t="s">
        <v>50</v>
      </c>
      <c r="J372" s="2" t="s">
        <v>69</v>
      </c>
      <c r="K372" s="2" t="s">
        <v>48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45"/>
        <v>16290.78</v>
      </c>
      <c r="Q372" s="2" t="str">
        <f t="shared" si="46"/>
        <v>Yes</v>
      </c>
      <c r="R372" s="2" t="str">
        <f t="shared" si="47"/>
        <v>No</v>
      </c>
      <c r="S372" s="2" t="str">
        <f t="shared" si="48"/>
        <v>Yes</v>
      </c>
      <c r="T372" s="2" t="str">
        <f t="shared" si="49"/>
        <v>Normal</v>
      </c>
      <c r="U372" s="2" t="str">
        <f t="shared" si="50"/>
        <v>No</v>
      </c>
      <c r="V372" s="2" t="str">
        <f t="shared" si="51"/>
        <v>No</v>
      </c>
      <c r="W372" s="2" t="str">
        <f t="shared" si="52"/>
        <v>Regular</v>
      </c>
      <c r="X372" s="2" t="str">
        <f t="shared" si="53"/>
        <v>Discounted Bulk</v>
      </c>
    </row>
    <row r="373" spans="1:24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17</v>
      </c>
      <c r="F373" s="2" t="s">
        <v>24</v>
      </c>
      <c r="G373" s="2" t="s">
        <v>25</v>
      </c>
      <c r="H373" s="2" t="s">
        <v>36</v>
      </c>
      <c r="I373" s="2" t="s">
        <v>50</v>
      </c>
      <c r="J373" s="2" t="s">
        <v>64</v>
      </c>
      <c r="K373" s="2" t="s">
        <v>22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45"/>
        <v>7914.04</v>
      </c>
      <c r="Q373" s="2" t="str">
        <f t="shared" si="46"/>
        <v>No</v>
      </c>
      <c r="R373" s="2" t="str">
        <f t="shared" si="47"/>
        <v>No</v>
      </c>
      <c r="S373" s="2" t="str">
        <f t="shared" si="48"/>
        <v>Yes</v>
      </c>
      <c r="T373" s="2" t="str">
        <f t="shared" si="49"/>
        <v>Normal</v>
      </c>
      <c r="U373" s="2" t="str">
        <f t="shared" si="50"/>
        <v>Yes</v>
      </c>
      <c r="V373" s="2" t="str">
        <f t="shared" si="51"/>
        <v>Yes</v>
      </c>
      <c r="W373" s="2" t="str">
        <f t="shared" si="52"/>
        <v>Regular</v>
      </c>
      <c r="X373" s="2" t="str">
        <f t="shared" si="53"/>
        <v>Discounted Bulk</v>
      </c>
    </row>
    <row r="374" spans="1:24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23</v>
      </c>
      <c r="F374" s="2" t="s">
        <v>17</v>
      </c>
      <c r="G374" s="2" t="s">
        <v>25</v>
      </c>
      <c r="H374" s="2" t="s">
        <v>19</v>
      </c>
      <c r="I374" s="2" t="s">
        <v>53</v>
      </c>
      <c r="J374" s="2" t="s">
        <v>54</v>
      </c>
      <c r="K374" s="2" t="s">
        <v>22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45"/>
        <v>6114.2999999999993</v>
      </c>
      <c r="Q374" s="2" t="str">
        <f t="shared" si="46"/>
        <v>No</v>
      </c>
      <c r="R374" s="2" t="str">
        <f t="shared" si="47"/>
        <v>No</v>
      </c>
      <c r="S374" s="2" t="str">
        <f t="shared" si="48"/>
        <v>Yes</v>
      </c>
      <c r="T374" s="2" t="str">
        <f t="shared" si="49"/>
        <v>Normal</v>
      </c>
      <c r="U374" s="2" t="str">
        <f t="shared" si="50"/>
        <v>Yes</v>
      </c>
      <c r="V374" s="2" t="str">
        <f t="shared" si="51"/>
        <v>Yes</v>
      </c>
      <c r="W374" s="2" t="str">
        <f t="shared" si="52"/>
        <v>Regular</v>
      </c>
      <c r="X374" s="2" t="str">
        <f t="shared" si="53"/>
        <v>Discounted Bulk</v>
      </c>
    </row>
    <row r="375" spans="1:24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38</v>
      </c>
      <c r="F375" s="2" t="s">
        <v>17</v>
      </c>
      <c r="G375" s="2" t="s">
        <v>18</v>
      </c>
      <c r="H375" s="2" t="s">
        <v>43</v>
      </c>
      <c r="I375" s="2" t="s">
        <v>58</v>
      </c>
      <c r="J375" s="2" t="s">
        <v>59</v>
      </c>
      <c r="K375" s="2" t="s">
        <v>34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45"/>
        <v>8255.5499999999993</v>
      </c>
      <c r="Q375" s="2" t="str">
        <f t="shared" si="46"/>
        <v>No</v>
      </c>
      <c r="R375" s="2" t="str">
        <f t="shared" si="47"/>
        <v>No</v>
      </c>
      <c r="S375" s="2" t="str">
        <f t="shared" si="48"/>
        <v>Yes</v>
      </c>
      <c r="T375" s="2" t="str">
        <f t="shared" si="49"/>
        <v>Normal</v>
      </c>
      <c r="U375" s="2" t="str">
        <f t="shared" si="50"/>
        <v>No</v>
      </c>
      <c r="V375" s="2" t="str">
        <f t="shared" si="51"/>
        <v>No</v>
      </c>
      <c r="W375" s="2" t="str">
        <f t="shared" si="52"/>
        <v>Regular</v>
      </c>
      <c r="X375" s="2" t="str">
        <f t="shared" si="53"/>
        <v>Discounted Bulk</v>
      </c>
    </row>
    <row r="376" spans="1:24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41</v>
      </c>
      <c r="F376" s="2" t="s">
        <v>24</v>
      </c>
      <c r="G376" s="2" t="s">
        <v>18</v>
      </c>
      <c r="H376" s="2" t="s">
        <v>36</v>
      </c>
      <c r="I376" s="2" t="s">
        <v>53</v>
      </c>
      <c r="J376" s="2" t="s">
        <v>61</v>
      </c>
      <c r="K376" s="2" t="s">
        <v>46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45"/>
        <v>5994.54</v>
      </c>
      <c r="Q376" s="2" t="str">
        <f t="shared" si="46"/>
        <v>No</v>
      </c>
      <c r="R376" s="2" t="str">
        <f t="shared" si="47"/>
        <v>No</v>
      </c>
      <c r="S376" s="2" t="str">
        <f t="shared" si="48"/>
        <v>Yes</v>
      </c>
      <c r="T376" s="2" t="str">
        <f t="shared" si="49"/>
        <v>Normal</v>
      </c>
      <c r="U376" s="2" t="str">
        <f t="shared" si="50"/>
        <v>No</v>
      </c>
      <c r="V376" s="2" t="str">
        <f t="shared" si="51"/>
        <v>No</v>
      </c>
      <c r="W376" s="2" t="str">
        <f t="shared" si="52"/>
        <v>Regular</v>
      </c>
      <c r="X376" s="2" t="str">
        <f t="shared" si="53"/>
        <v>Discounted Bulk</v>
      </c>
    </row>
    <row r="377" spans="1:24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38</v>
      </c>
      <c r="F377" s="2" t="s">
        <v>55</v>
      </c>
      <c r="G377" s="2" t="s">
        <v>31</v>
      </c>
      <c r="H377" s="2" t="s">
        <v>19</v>
      </c>
      <c r="I377" s="2" t="s">
        <v>58</v>
      </c>
      <c r="J377" s="2" t="s">
        <v>60</v>
      </c>
      <c r="K377" s="2" t="s">
        <v>46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45"/>
        <v>4088.16</v>
      </c>
      <c r="Q377" s="2" t="str">
        <f t="shared" si="46"/>
        <v>No</v>
      </c>
      <c r="R377" s="2" t="str">
        <f t="shared" si="47"/>
        <v>No</v>
      </c>
      <c r="S377" s="2" t="str">
        <f t="shared" si="48"/>
        <v>No</v>
      </c>
      <c r="T377" s="2" t="str">
        <f t="shared" si="49"/>
        <v>Normal</v>
      </c>
      <c r="U377" s="2" t="str">
        <f t="shared" si="50"/>
        <v>No</v>
      </c>
      <c r="V377" s="2" t="str">
        <f t="shared" si="51"/>
        <v>No</v>
      </c>
      <c r="W377" s="2" t="str">
        <f t="shared" si="52"/>
        <v>Regular</v>
      </c>
      <c r="X377" s="2" t="str">
        <f t="shared" si="53"/>
        <v>Discounted Bulk</v>
      </c>
    </row>
    <row r="378" spans="1:24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23</v>
      </c>
      <c r="F378" s="2" t="s">
        <v>24</v>
      </c>
      <c r="G378" s="2" t="s">
        <v>25</v>
      </c>
      <c r="H378" s="2" t="s">
        <v>26</v>
      </c>
      <c r="I378" s="2" t="s">
        <v>53</v>
      </c>
      <c r="J378" s="2" t="s">
        <v>57</v>
      </c>
      <c r="K378" s="2" t="s">
        <v>48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45"/>
        <v>3696</v>
      </c>
      <c r="Q378" s="2" t="str">
        <f t="shared" si="46"/>
        <v>No</v>
      </c>
      <c r="R378" s="2" t="str">
        <f t="shared" si="47"/>
        <v>No</v>
      </c>
      <c r="S378" s="2" t="str">
        <f t="shared" si="48"/>
        <v>Yes</v>
      </c>
      <c r="T378" s="2" t="str">
        <f t="shared" si="49"/>
        <v>Normal</v>
      </c>
      <c r="U378" s="2" t="str">
        <f t="shared" si="50"/>
        <v>Yes</v>
      </c>
      <c r="V378" s="2" t="str">
        <f t="shared" si="51"/>
        <v>Yes</v>
      </c>
      <c r="W378" s="2" t="str">
        <f t="shared" si="52"/>
        <v>Regular</v>
      </c>
      <c r="X378" s="2" t="str">
        <f t="shared" si="53"/>
        <v>Non Discounted Bulk</v>
      </c>
    </row>
    <row r="379" spans="1:24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41</v>
      </c>
      <c r="F379" s="2" t="s">
        <v>24</v>
      </c>
      <c r="G379" s="2" t="s">
        <v>18</v>
      </c>
      <c r="H379" s="2" t="s">
        <v>36</v>
      </c>
      <c r="I379" s="2" t="s">
        <v>53</v>
      </c>
      <c r="J379" s="2" t="s">
        <v>65</v>
      </c>
      <c r="K379" s="2" t="s">
        <v>29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45"/>
        <v>30099.87</v>
      </c>
      <c r="Q379" s="2" t="str">
        <f t="shared" si="46"/>
        <v>Yes</v>
      </c>
      <c r="R379" s="2" t="str">
        <f t="shared" si="47"/>
        <v>Yes</v>
      </c>
      <c r="S379" s="2" t="str">
        <f t="shared" si="48"/>
        <v>Yes</v>
      </c>
      <c r="T379" s="2" t="str">
        <f t="shared" si="49"/>
        <v>Normal</v>
      </c>
      <c r="U379" s="2" t="str">
        <f t="shared" si="50"/>
        <v>No</v>
      </c>
      <c r="V379" s="2" t="str">
        <f t="shared" si="51"/>
        <v>No</v>
      </c>
      <c r="W379" s="2" t="str">
        <f t="shared" si="52"/>
        <v>Premium</v>
      </c>
      <c r="X379" s="2" t="str">
        <f t="shared" si="53"/>
        <v>Non Discounted Bulk</v>
      </c>
    </row>
    <row r="380" spans="1:24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16</v>
      </c>
      <c r="F380" s="2" t="s">
        <v>17</v>
      </c>
      <c r="G380" s="2" t="s">
        <v>25</v>
      </c>
      <c r="H380" s="2" t="s">
        <v>36</v>
      </c>
      <c r="I380" s="2" t="s">
        <v>27</v>
      </c>
      <c r="J380" s="2" t="s">
        <v>70</v>
      </c>
      <c r="K380" s="2" t="s">
        <v>46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45"/>
        <v>3910.66</v>
      </c>
      <c r="Q380" s="2" t="str">
        <f t="shared" si="46"/>
        <v>No</v>
      </c>
      <c r="R380" s="2" t="str">
        <f t="shared" si="47"/>
        <v>No</v>
      </c>
      <c r="S380" s="2" t="str">
        <f t="shared" si="48"/>
        <v>Yes</v>
      </c>
      <c r="T380" s="2" t="str">
        <f t="shared" si="49"/>
        <v>Normal</v>
      </c>
      <c r="U380" s="2" t="str">
        <f t="shared" si="50"/>
        <v>Yes</v>
      </c>
      <c r="V380" s="2" t="str">
        <f t="shared" si="51"/>
        <v>Yes</v>
      </c>
      <c r="W380" s="2" t="str">
        <f t="shared" si="52"/>
        <v>Regular</v>
      </c>
      <c r="X380" s="2" t="str">
        <f t="shared" si="53"/>
        <v>Discounted Bulk</v>
      </c>
    </row>
    <row r="381" spans="1:24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38</v>
      </c>
      <c r="F381" s="2" t="s">
        <v>17</v>
      </c>
      <c r="G381" s="2" t="s">
        <v>18</v>
      </c>
      <c r="H381" s="2" t="s">
        <v>43</v>
      </c>
      <c r="I381" s="2" t="s">
        <v>20</v>
      </c>
      <c r="J381" s="2" t="s">
        <v>56</v>
      </c>
      <c r="K381" s="2" t="s">
        <v>34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45"/>
        <v>5124.57</v>
      </c>
      <c r="Q381" s="2" t="str">
        <f t="shared" si="46"/>
        <v>No</v>
      </c>
      <c r="R381" s="2" t="str">
        <f t="shared" si="47"/>
        <v>No</v>
      </c>
      <c r="S381" s="2" t="str">
        <f t="shared" si="48"/>
        <v>Yes</v>
      </c>
      <c r="T381" s="2" t="str">
        <f t="shared" si="49"/>
        <v>Normal</v>
      </c>
      <c r="U381" s="2" t="str">
        <f t="shared" si="50"/>
        <v>No</v>
      </c>
      <c r="V381" s="2" t="str">
        <f t="shared" si="51"/>
        <v>No</v>
      </c>
      <c r="W381" s="2" t="str">
        <f t="shared" si="52"/>
        <v>Regular</v>
      </c>
      <c r="X381" s="2" t="str">
        <f t="shared" si="53"/>
        <v>Discounted Bulk</v>
      </c>
    </row>
    <row r="382" spans="1:24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17</v>
      </c>
      <c r="F382" s="2" t="s">
        <v>24</v>
      </c>
      <c r="G382" s="2" t="s">
        <v>25</v>
      </c>
      <c r="H382" s="2" t="s">
        <v>45</v>
      </c>
      <c r="I382" s="2" t="s">
        <v>53</v>
      </c>
      <c r="J382" s="2" t="s">
        <v>57</v>
      </c>
      <c r="K382" s="2" t="s">
        <v>48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45"/>
        <v>1462.35</v>
      </c>
      <c r="Q382" s="2" t="str">
        <f t="shared" si="46"/>
        <v>No</v>
      </c>
      <c r="R382" s="2" t="str">
        <f t="shared" si="47"/>
        <v>No</v>
      </c>
      <c r="S382" s="2" t="str">
        <f t="shared" si="48"/>
        <v>Yes</v>
      </c>
      <c r="T382" s="2" t="str">
        <f t="shared" si="49"/>
        <v>Normal</v>
      </c>
      <c r="U382" s="2" t="str">
        <f t="shared" si="50"/>
        <v>Yes</v>
      </c>
      <c r="V382" s="2" t="str">
        <f t="shared" si="51"/>
        <v>Yes</v>
      </c>
      <c r="W382" s="2" t="str">
        <f t="shared" si="52"/>
        <v>Regular</v>
      </c>
      <c r="X382" s="2" t="str">
        <f t="shared" si="53"/>
        <v>Discounted Bulk</v>
      </c>
    </row>
    <row r="383" spans="1:24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17</v>
      </c>
      <c r="F383" s="2" t="s">
        <v>24</v>
      </c>
      <c r="G383" s="2" t="s">
        <v>31</v>
      </c>
      <c r="H383" s="2" t="s">
        <v>45</v>
      </c>
      <c r="I383" s="2" t="s">
        <v>27</v>
      </c>
      <c r="J383" s="2" t="s">
        <v>37</v>
      </c>
      <c r="K383" s="2" t="s">
        <v>48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45"/>
        <v>3227.04</v>
      </c>
      <c r="Q383" s="2" t="str">
        <f t="shared" si="46"/>
        <v>No</v>
      </c>
      <c r="R383" s="2" t="str">
        <f t="shared" si="47"/>
        <v>Yes</v>
      </c>
      <c r="S383" s="2" t="str">
        <f t="shared" si="48"/>
        <v>No</v>
      </c>
      <c r="T383" s="2" t="str">
        <f t="shared" si="49"/>
        <v>Normal</v>
      </c>
      <c r="U383" s="2" t="str">
        <f t="shared" si="50"/>
        <v>No</v>
      </c>
      <c r="V383" s="2" t="str">
        <f t="shared" si="51"/>
        <v>No</v>
      </c>
      <c r="W383" s="2" t="str">
        <f t="shared" si="52"/>
        <v>Regular</v>
      </c>
      <c r="X383" s="2" t="str">
        <f t="shared" si="53"/>
        <v>Non Discounted Bulk</v>
      </c>
    </row>
    <row r="384" spans="1:24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38</v>
      </c>
      <c r="F384" s="2" t="s">
        <v>24</v>
      </c>
      <c r="G384" s="2" t="s">
        <v>25</v>
      </c>
      <c r="H384" s="2" t="s">
        <v>43</v>
      </c>
      <c r="I384" s="2" t="s">
        <v>32</v>
      </c>
      <c r="J384" s="2" t="s">
        <v>49</v>
      </c>
      <c r="K384" s="2" t="s">
        <v>34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45"/>
        <v>3581.58</v>
      </c>
      <c r="Q384" s="2" t="str">
        <f t="shared" si="46"/>
        <v>No</v>
      </c>
      <c r="R384" s="2" t="str">
        <f t="shared" si="47"/>
        <v>No</v>
      </c>
      <c r="S384" s="2" t="str">
        <f t="shared" si="48"/>
        <v>Yes</v>
      </c>
      <c r="T384" s="2" t="str">
        <f t="shared" si="49"/>
        <v>Normal</v>
      </c>
      <c r="U384" s="2" t="str">
        <f t="shared" si="50"/>
        <v>Yes</v>
      </c>
      <c r="V384" s="2" t="str">
        <f t="shared" si="51"/>
        <v>Yes</v>
      </c>
      <c r="W384" s="2" t="str">
        <f t="shared" si="52"/>
        <v>Regular</v>
      </c>
      <c r="X384" s="2" t="str">
        <f t="shared" si="53"/>
        <v>Discounted Bulk</v>
      </c>
    </row>
    <row r="385" spans="1:24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23</v>
      </c>
      <c r="F385" s="2" t="s">
        <v>17</v>
      </c>
      <c r="G385" s="2" t="s">
        <v>25</v>
      </c>
      <c r="H385" s="2" t="s">
        <v>43</v>
      </c>
      <c r="I385" s="2" t="s">
        <v>20</v>
      </c>
      <c r="J385" s="2" t="s">
        <v>56</v>
      </c>
      <c r="K385" s="2" t="s">
        <v>29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45"/>
        <v>9678.4</v>
      </c>
      <c r="Q385" s="2" t="str">
        <f t="shared" si="46"/>
        <v>No</v>
      </c>
      <c r="R385" s="2" t="str">
        <f t="shared" si="47"/>
        <v>No</v>
      </c>
      <c r="S385" s="2" t="str">
        <f t="shared" si="48"/>
        <v>Yes</v>
      </c>
      <c r="T385" s="2" t="str">
        <f t="shared" si="49"/>
        <v>Normal</v>
      </c>
      <c r="U385" s="2" t="str">
        <f t="shared" si="50"/>
        <v>Yes</v>
      </c>
      <c r="V385" s="2" t="str">
        <f t="shared" si="51"/>
        <v>Yes</v>
      </c>
      <c r="W385" s="2" t="str">
        <f t="shared" si="52"/>
        <v>Regular</v>
      </c>
      <c r="X385" s="2" t="str">
        <f t="shared" si="53"/>
        <v>Discounted Bulk</v>
      </c>
    </row>
    <row r="386" spans="1:24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17</v>
      </c>
      <c r="F386" s="2" t="s">
        <v>24</v>
      </c>
      <c r="G386" s="2" t="s">
        <v>25</v>
      </c>
      <c r="H386" s="2" t="s">
        <v>43</v>
      </c>
      <c r="I386" s="2" t="s">
        <v>53</v>
      </c>
      <c r="J386" s="2" t="s">
        <v>65</v>
      </c>
      <c r="K386" s="2" t="s">
        <v>34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45"/>
        <v>4146.33</v>
      </c>
      <c r="Q386" s="2" t="str">
        <f t="shared" si="46"/>
        <v>No</v>
      </c>
      <c r="R386" s="2" t="str">
        <f t="shared" si="47"/>
        <v>No</v>
      </c>
      <c r="S386" s="2" t="str">
        <f t="shared" si="48"/>
        <v>Yes</v>
      </c>
      <c r="T386" s="2" t="str">
        <f t="shared" si="49"/>
        <v>Normal</v>
      </c>
      <c r="U386" s="2" t="str">
        <f t="shared" si="50"/>
        <v>Yes</v>
      </c>
      <c r="V386" s="2" t="str">
        <f t="shared" si="51"/>
        <v>Yes</v>
      </c>
      <c r="W386" s="2" t="str">
        <f t="shared" si="52"/>
        <v>Regular</v>
      </c>
      <c r="X386" s="2" t="str">
        <f t="shared" si="53"/>
        <v>Discounted Bulk</v>
      </c>
    </row>
    <row r="387" spans="1:24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16</v>
      </c>
      <c r="F387" s="2" t="s">
        <v>24</v>
      </c>
      <c r="G387" s="2" t="s">
        <v>25</v>
      </c>
      <c r="H387" s="2" t="s">
        <v>45</v>
      </c>
      <c r="I387" s="2" t="s">
        <v>50</v>
      </c>
      <c r="J387" s="2" t="s">
        <v>69</v>
      </c>
      <c r="K387" s="2" t="s">
        <v>29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54">L387*M387</f>
        <v>3968.76</v>
      </c>
      <c r="Q387" s="2" t="str">
        <f t="shared" ref="Q387:Q450" si="55">IF(AND(L387&gt;=5,O387&gt;=10000),"Yes","No")</f>
        <v>No</v>
      </c>
      <c r="R387" s="2" t="str">
        <f t="shared" ref="R387:R450" si="56">IF(AND(L387&gt;=8,N387&gt;=10),"Yes","No")</f>
        <v>No</v>
      </c>
      <c r="S387" s="2" t="str">
        <f t="shared" ref="S387:S450" si="57">IF(OR(G387="Website",G387="Mobile App"),"Yes","No")</f>
        <v>Yes</v>
      </c>
      <c r="T387" s="2" t="str">
        <f t="shared" ref="T387:T450" si="58">IF(AND(L387&lt;3,O387&lt;=1000),"Special Attention","Normal")</f>
        <v>Normal</v>
      </c>
      <c r="U387" s="2" t="str">
        <f t="shared" ref="U387:U450" si="59">IF(NOT(G387="Website"),"No","Yes")</f>
        <v>Yes</v>
      </c>
      <c r="V387" s="2" t="str">
        <f t="shared" ref="V387:V450" si="60">IF((G387&lt;&gt;"Website"), "No","Yes")</f>
        <v>Yes</v>
      </c>
      <c r="W387" s="2" t="str">
        <f t="shared" ref="W387:W450" si="61">IF(AND(O387&gt;15000,OR(I387="Electronics",I387="Beauty")),"Premium","Regular")</f>
        <v>Regular</v>
      </c>
      <c r="X387" s="2" t="str">
        <f t="shared" ref="X387:X450" si="62">IF(AND(L387&gt;=8,NOT(N387=0)),"Non Discounted Bulk","Discounted Bulk")</f>
        <v>Discounted Bulk</v>
      </c>
    </row>
    <row r="388" spans="1:24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47</v>
      </c>
      <c r="F388" s="2" t="s">
        <v>30</v>
      </c>
      <c r="G388" s="2" t="s">
        <v>25</v>
      </c>
      <c r="H388" s="2" t="s">
        <v>43</v>
      </c>
      <c r="I388" s="2" t="s">
        <v>32</v>
      </c>
      <c r="J388" s="2" t="s">
        <v>33</v>
      </c>
      <c r="K388" s="2" t="s">
        <v>34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54"/>
        <v>11003.76</v>
      </c>
      <c r="Q388" s="2" t="str">
        <f t="shared" si="55"/>
        <v>No</v>
      </c>
      <c r="R388" s="2" t="str">
        <f t="shared" si="56"/>
        <v>Yes</v>
      </c>
      <c r="S388" s="2" t="str">
        <f t="shared" si="57"/>
        <v>Yes</v>
      </c>
      <c r="T388" s="2" t="str">
        <f t="shared" si="58"/>
        <v>Normal</v>
      </c>
      <c r="U388" s="2" t="str">
        <f t="shared" si="59"/>
        <v>Yes</v>
      </c>
      <c r="V388" s="2" t="str">
        <f t="shared" si="60"/>
        <v>Yes</v>
      </c>
      <c r="W388" s="2" t="str">
        <f t="shared" si="61"/>
        <v>Regular</v>
      </c>
      <c r="X388" s="2" t="str">
        <f t="shared" si="62"/>
        <v>Non Discounted Bulk</v>
      </c>
    </row>
    <row r="389" spans="1:24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23</v>
      </c>
      <c r="F389" s="2" t="s">
        <v>55</v>
      </c>
      <c r="G389" s="2" t="s">
        <v>31</v>
      </c>
      <c r="H389" s="2" t="s">
        <v>19</v>
      </c>
      <c r="I389" s="2" t="s">
        <v>32</v>
      </c>
      <c r="J389" s="2" t="s">
        <v>40</v>
      </c>
      <c r="K389" s="2" t="s">
        <v>34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54"/>
        <v>6098.37</v>
      </c>
      <c r="Q389" s="2" t="str">
        <f t="shared" si="55"/>
        <v>No</v>
      </c>
      <c r="R389" s="2" t="str">
        <f t="shared" si="56"/>
        <v>No</v>
      </c>
      <c r="S389" s="2" t="str">
        <f t="shared" si="57"/>
        <v>No</v>
      </c>
      <c r="T389" s="2" t="str">
        <f t="shared" si="58"/>
        <v>Normal</v>
      </c>
      <c r="U389" s="2" t="str">
        <f t="shared" si="59"/>
        <v>No</v>
      </c>
      <c r="V389" s="2" t="str">
        <f t="shared" si="60"/>
        <v>No</v>
      </c>
      <c r="W389" s="2" t="str">
        <f t="shared" si="61"/>
        <v>Regular</v>
      </c>
      <c r="X389" s="2" t="str">
        <f t="shared" si="62"/>
        <v>Discounted Bulk</v>
      </c>
    </row>
    <row r="390" spans="1:24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16</v>
      </c>
      <c r="F390" s="2" t="s">
        <v>39</v>
      </c>
      <c r="G390" s="2" t="s">
        <v>18</v>
      </c>
      <c r="H390" s="2" t="s">
        <v>36</v>
      </c>
      <c r="I390" s="2" t="s">
        <v>27</v>
      </c>
      <c r="J390" s="2" t="s">
        <v>70</v>
      </c>
      <c r="K390" s="2" t="s">
        <v>22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54"/>
        <v>24215.03</v>
      </c>
      <c r="Q390" s="2" t="str">
        <f t="shared" si="55"/>
        <v>Yes</v>
      </c>
      <c r="R390" s="2" t="str">
        <f t="shared" si="56"/>
        <v>No</v>
      </c>
      <c r="S390" s="2" t="str">
        <f t="shared" si="57"/>
        <v>Yes</v>
      </c>
      <c r="T390" s="2" t="str">
        <f t="shared" si="58"/>
        <v>Normal</v>
      </c>
      <c r="U390" s="2" t="str">
        <f t="shared" si="59"/>
        <v>No</v>
      </c>
      <c r="V390" s="2" t="str">
        <f t="shared" si="60"/>
        <v>No</v>
      </c>
      <c r="W390" s="2" t="str">
        <f t="shared" si="61"/>
        <v>Regular</v>
      </c>
      <c r="X390" s="2" t="str">
        <f t="shared" si="62"/>
        <v>Discounted Bulk</v>
      </c>
    </row>
    <row r="391" spans="1:24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41</v>
      </c>
      <c r="F391" s="2" t="s">
        <v>55</v>
      </c>
      <c r="G391" s="2" t="s">
        <v>25</v>
      </c>
      <c r="H391" s="2" t="s">
        <v>36</v>
      </c>
      <c r="I391" s="2" t="s">
        <v>32</v>
      </c>
      <c r="J391" s="2" t="s">
        <v>49</v>
      </c>
      <c r="K391" s="2" t="s">
        <v>48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54"/>
        <v>2430.36</v>
      </c>
      <c r="Q391" s="2" t="str">
        <f t="shared" si="55"/>
        <v>No</v>
      </c>
      <c r="R391" s="2" t="str">
        <f t="shared" si="56"/>
        <v>No</v>
      </c>
      <c r="S391" s="2" t="str">
        <f t="shared" si="57"/>
        <v>Yes</v>
      </c>
      <c r="T391" s="2" t="str">
        <f t="shared" si="58"/>
        <v>Normal</v>
      </c>
      <c r="U391" s="2" t="str">
        <f t="shared" si="59"/>
        <v>Yes</v>
      </c>
      <c r="V391" s="2" t="str">
        <f t="shared" si="60"/>
        <v>Yes</v>
      </c>
      <c r="W391" s="2" t="str">
        <f t="shared" si="61"/>
        <v>Regular</v>
      </c>
      <c r="X391" s="2" t="str">
        <f t="shared" si="62"/>
        <v>Discounted Bulk</v>
      </c>
    </row>
    <row r="392" spans="1:24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16</v>
      </c>
      <c r="F392" s="2" t="s">
        <v>30</v>
      </c>
      <c r="G392" s="2" t="s">
        <v>31</v>
      </c>
      <c r="H392" s="2" t="s">
        <v>26</v>
      </c>
      <c r="I392" s="2" t="s">
        <v>20</v>
      </c>
      <c r="J392" s="2" t="s">
        <v>67</v>
      </c>
      <c r="K392" s="2" t="s">
        <v>34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54"/>
        <v>16946.52</v>
      </c>
      <c r="Q392" s="2" t="str">
        <f t="shared" si="55"/>
        <v>Yes</v>
      </c>
      <c r="R392" s="2" t="str">
        <f t="shared" si="56"/>
        <v>No</v>
      </c>
      <c r="S392" s="2" t="str">
        <f t="shared" si="57"/>
        <v>No</v>
      </c>
      <c r="T392" s="2" t="str">
        <f t="shared" si="58"/>
        <v>Normal</v>
      </c>
      <c r="U392" s="2" t="str">
        <f t="shared" si="59"/>
        <v>No</v>
      </c>
      <c r="V392" s="2" t="str">
        <f t="shared" si="60"/>
        <v>No</v>
      </c>
      <c r="W392" s="2" t="str">
        <f t="shared" si="61"/>
        <v>Regular</v>
      </c>
      <c r="X392" s="2" t="str">
        <f t="shared" si="62"/>
        <v>Discounted Bulk</v>
      </c>
    </row>
    <row r="393" spans="1:24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23</v>
      </c>
      <c r="F393" s="2" t="s">
        <v>39</v>
      </c>
      <c r="G393" s="2" t="s">
        <v>25</v>
      </c>
      <c r="H393" s="2" t="s">
        <v>26</v>
      </c>
      <c r="I393" s="2" t="s">
        <v>53</v>
      </c>
      <c r="J393" s="2" t="s">
        <v>61</v>
      </c>
      <c r="K393" s="2" t="s">
        <v>34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54"/>
        <v>4661.9400000000005</v>
      </c>
      <c r="Q393" s="2" t="str">
        <f t="shared" si="55"/>
        <v>No</v>
      </c>
      <c r="R393" s="2" t="str">
        <f t="shared" si="56"/>
        <v>No</v>
      </c>
      <c r="S393" s="2" t="str">
        <f t="shared" si="57"/>
        <v>Yes</v>
      </c>
      <c r="T393" s="2" t="str">
        <f t="shared" si="58"/>
        <v>Normal</v>
      </c>
      <c r="U393" s="2" t="str">
        <f t="shared" si="59"/>
        <v>Yes</v>
      </c>
      <c r="V393" s="2" t="str">
        <f t="shared" si="60"/>
        <v>Yes</v>
      </c>
      <c r="W393" s="2" t="str">
        <f t="shared" si="61"/>
        <v>Regular</v>
      </c>
      <c r="X393" s="2" t="str">
        <f t="shared" si="62"/>
        <v>Discounted Bulk</v>
      </c>
    </row>
    <row r="394" spans="1:24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41</v>
      </c>
      <c r="F394" s="2" t="s">
        <v>24</v>
      </c>
      <c r="G394" s="2" t="s">
        <v>25</v>
      </c>
      <c r="H394" s="2" t="s">
        <v>36</v>
      </c>
      <c r="I394" s="2" t="s">
        <v>53</v>
      </c>
      <c r="J394" s="2" t="s">
        <v>61</v>
      </c>
      <c r="K394" s="2" t="s">
        <v>46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54"/>
        <v>23946</v>
      </c>
      <c r="Q394" s="2" t="str">
        <f t="shared" si="55"/>
        <v>Yes</v>
      </c>
      <c r="R394" s="2" t="str">
        <f t="shared" si="56"/>
        <v>Yes</v>
      </c>
      <c r="S394" s="2" t="str">
        <f t="shared" si="57"/>
        <v>Yes</v>
      </c>
      <c r="T394" s="2" t="str">
        <f t="shared" si="58"/>
        <v>Normal</v>
      </c>
      <c r="U394" s="2" t="str">
        <f t="shared" si="59"/>
        <v>Yes</v>
      </c>
      <c r="V394" s="2" t="str">
        <f t="shared" si="60"/>
        <v>Yes</v>
      </c>
      <c r="W394" s="2" t="str">
        <f t="shared" si="61"/>
        <v>Premium</v>
      </c>
      <c r="X394" s="2" t="str">
        <f t="shared" si="62"/>
        <v>Non Discounted Bulk</v>
      </c>
    </row>
    <row r="395" spans="1:24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23</v>
      </c>
      <c r="F395" s="2" t="s">
        <v>30</v>
      </c>
      <c r="G395" s="2" t="s">
        <v>18</v>
      </c>
      <c r="H395" s="2" t="s">
        <v>19</v>
      </c>
      <c r="I395" s="2" t="s">
        <v>50</v>
      </c>
      <c r="J395" s="2" t="s">
        <v>51</v>
      </c>
      <c r="K395" s="2" t="s">
        <v>48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54"/>
        <v>16298.880000000001</v>
      </c>
      <c r="Q395" s="2" t="str">
        <f t="shared" si="55"/>
        <v>Yes</v>
      </c>
      <c r="R395" s="2" t="str">
        <f t="shared" si="56"/>
        <v>No</v>
      </c>
      <c r="S395" s="2" t="str">
        <f t="shared" si="57"/>
        <v>Yes</v>
      </c>
      <c r="T395" s="2" t="str">
        <f t="shared" si="58"/>
        <v>Normal</v>
      </c>
      <c r="U395" s="2" t="str">
        <f t="shared" si="59"/>
        <v>No</v>
      </c>
      <c r="V395" s="2" t="str">
        <f t="shared" si="60"/>
        <v>No</v>
      </c>
      <c r="W395" s="2" t="str">
        <f t="shared" si="61"/>
        <v>Premium</v>
      </c>
      <c r="X395" s="2" t="str">
        <f t="shared" si="62"/>
        <v>Discounted Bulk</v>
      </c>
    </row>
    <row r="396" spans="1:24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17</v>
      </c>
      <c r="F396" s="2" t="s">
        <v>24</v>
      </c>
      <c r="G396" s="2" t="s">
        <v>25</v>
      </c>
      <c r="H396" s="2" t="s">
        <v>45</v>
      </c>
      <c r="I396" s="2" t="s">
        <v>27</v>
      </c>
      <c r="J396" s="2" t="s">
        <v>37</v>
      </c>
      <c r="K396" s="2" t="s">
        <v>46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54"/>
        <v>1220.6199999999999</v>
      </c>
      <c r="Q396" s="2" t="str">
        <f t="shared" si="55"/>
        <v>No</v>
      </c>
      <c r="R396" s="2" t="str">
        <f t="shared" si="56"/>
        <v>No</v>
      </c>
      <c r="S396" s="2" t="str">
        <f t="shared" si="57"/>
        <v>Yes</v>
      </c>
      <c r="T396" s="2" t="str">
        <f t="shared" si="58"/>
        <v>Normal</v>
      </c>
      <c r="U396" s="2" t="str">
        <f t="shared" si="59"/>
        <v>Yes</v>
      </c>
      <c r="V396" s="2" t="str">
        <f t="shared" si="60"/>
        <v>Yes</v>
      </c>
      <c r="W396" s="2" t="str">
        <f t="shared" si="61"/>
        <v>Regular</v>
      </c>
      <c r="X396" s="2" t="str">
        <f t="shared" si="62"/>
        <v>Discounted Bulk</v>
      </c>
    </row>
    <row r="397" spans="1:24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47</v>
      </c>
      <c r="F397" s="2" t="s">
        <v>17</v>
      </c>
      <c r="G397" s="2" t="s">
        <v>31</v>
      </c>
      <c r="H397" s="2" t="s">
        <v>45</v>
      </c>
      <c r="I397" s="2" t="s">
        <v>50</v>
      </c>
      <c r="J397" s="2" t="s">
        <v>52</v>
      </c>
      <c r="K397" s="2" t="s">
        <v>48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54"/>
        <v>14128.02</v>
      </c>
      <c r="Q397" s="2" t="str">
        <f t="shared" si="55"/>
        <v>Yes</v>
      </c>
      <c r="R397" s="2" t="str">
        <f t="shared" si="56"/>
        <v>No</v>
      </c>
      <c r="S397" s="2" t="str">
        <f t="shared" si="57"/>
        <v>No</v>
      </c>
      <c r="T397" s="2" t="str">
        <f t="shared" si="58"/>
        <v>Normal</v>
      </c>
      <c r="U397" s="2" t="str">
        <f t="shared" si="59"/>
        <v>No</v>
      </c>
      <c r="V397" s="2" t="str">
        <f t="shared" si="60"/>
        <v>No</v>
      </c>
      <c r="W397" s="2" t="str">
        <f t="shared" si="61"/>
        <v>Regular</v>
      </c>
      <c r="X397" s="2" t="str">
        <f t="shared" si="62"/>
        <v>Discounted Bulk</v>
      </c>
    </row>
    <row r="398" spans="1:24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23</v>
      </c>
      <c r="F398" s="2" t="s">
        <v>42</v>
      </c>
      <c r="G398" s="2" t="s">
        <v>31</v>
      </c>
      <c r="H398" s="2" t="s">
        <v>19</v>
      </c>
      <c r="I398" s="2" t="s">
        <v>32</v>
      </c>
      <c r="J398" s="2" t="s">
        <v>40</v>
      </c>
      <c r="K398" s="2" t="s">
        <v>46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54"/>
        <v>7969.22</v>
      </c>
      <c r="Q398" s="2" t="str">
        <f t="shared" si="55"/>
        <v>No</v>
      </c>
      <c r="R398" s="2" t="str">
        <f t="shared" si="56"/>
        <v>No</v>
      </c>
      <c r="S398" s="2" t="str">
        <f t="shared" si="57"/>
        <v>No</v>
      </c>
      <c r="T398" s="2" t="str">
        <f t="shared" si="58"/>
        <v>Normal</v>
      </c>
      <c r="U398" s="2" t="str">
        <f t="shared" si="59"/>
        <v>No</v>
      </c>
      <c r="V398" s="2" t="str">
        <f t="shared" si="60"/>
        <v>No</v>
      </c>
      <c r="W398" s="2" t="str">
        <f t="shared" si="61"/>
        <v>Regular</v>
      </c>
      <c r="X398" s="2" t="str">
        <f t="shared" si="62"/>
        <v>Discounted Bulk</v>
      </c>
    </row>
    <row r="399" spans="1:24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23</v>
      </c>
      <c r="F399" s="2" t="s">
        <v>30</v>
      </c>
      <c r="G399" s="2" t="s">
        <v>18</v>
      </c>
      <c r="H399" s="2" t="s">
        <v>45</v>
      </c>
      <c r="I399" s="2" t="s">
        <v>50</v>
      </c>
      <c r="J399" s="2" t="s">
        <v>64</v>
      </c>
      <c r="K399" s="2" t="s">
        <v>34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54"/>
        <v>16228.85</v>
      </c>
      <c r="Q399" s="2" t="str">
        <f t="shared" si="55"/>
        <v>Yes</v>
      </c>
      <c r="R399" s="2" t="str">
        <f t="shared" si="56"/>
        <v>No</v>
      </c>
      <c r="S399" s="2" t="str">
        <f t="shared" si="57"/>
        <v>Yes</v>
      </c>
      <c r="T399" s="2" t="str">
        <f t="shared" si="58"/>
        <v>Normal</v>
      </c>
      <c r="U399" s="2" t="str">
        <f t="shared" si="59"/>
        <v>No</v>
      </c>
      <c r="V399" s="2" t="str">
        <f t="shared" si="60"/>
        <v>No</v>
      </c>
      <c r="W399" s="2" t="str">
        <f t="shared" si="61"/>
        <v>Premium</v>
      </c>
      <c r="X399" s="2" t="str">
        <f t="shared" si="62"/>
        <v>Discounted Bulk</v>
      </c>
    </row>
    <row r="400" spans="1:24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17</v>
      </c>
      <c r="F400" s="2" t="s">
        <v>17</v>
      </c>
      <c r="G400" s="2" t="s">
        <v>25</v>
      </c>
      <c r="H400" s="2" t="s">
        <v>43</v>
      </c>
      <c r="I400" s="2" t="s">
        <v>20</v>
      </c>
      <c r="J400" s="2" t="s">
        <v>44</v>
      </c>
      <c r="K400" s="2" t="s">
        <v>34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54"/>
        <v>5369.58</v>
      </c>
      <c r="Q400" s="2" t="str">
        <f t="shared" si="55"/>
        <v>No</v>
      </c>
      <c r="R400" s="2" t="str">
        <f t="shared" si="56"/>
        <v>No</v>
      </c>
      <c r="S400" s="2" t="str">
        <f t="shared" si="57"/>
        <v>Yes</v>
      </c>
      <c r="T400" s="2" t="str">
        <f t="shared" si="58"/>
        <v>Normal</v>
      </c>
      <c r="U400" s="2" t="str">
        <f t="shared" si="59"/>
        <v>Yes</v>
      </c>
      <c r="V400" s="2" t="str">
        <f t="shared" si="60"/>
        <v>Yes</v>
      </c>
      <c r="W400" s="2" t="str">
        <f t="shared" si="61"/>
        <v>Regular</v>
      </c>
      <c r="X400" s="2" t="str">
        <f t="shared" si="62"/>
        <v>Discounted Bulk</v>
      </c>
    </row>
    <row r="401" spans="1:24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35</v>
      </c>
      <c r="F401" s="2" t="s">
        <v>30</v>
      </c>
      <c r="G401" s="2" t="s">
        <v>31</v>
      </c>
      <c r="H401" s="2" t="s">
        <v>36</v>
      </c>
      <c r="I401" s="2" t="s">
        <v>53</v>
      </c>
      <c r="J401" s="2" t="s">
        <v>61</v>
      </c>
      <c r="K401" s="2" t="s">
        <v>22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54"/>
        <v>15918.12</v>
      </c>
      <c r="Q401" s="2" t="str">
        <f t="shared" si="55"/>
        <v>No</v>
      </c>
      <c r="R401" s="2" t="str">
        <f t="shared" si="56"/>
        <v>No</v>
      </c>
      <c r="S401" s="2" t="str">
        <f t="shared" si="57"/>
        <v>No</v>
      </c>
      <c r="T401" s="2" t="str">
        <f t="shared" si="58"/>
        <v>Normal</v>
      </c>
      <c r="U401" s="2" t="str">
        <f t="shared" si="59"/>
        <v>No</v>
      </c>
      <c r="V401" s="2" t="str">
        <f t="shared" si="60"/>
        <v>No</v>
      </c>
      <c r="W401" s="2" t="str">
        <f t="shared" si="61"/>
        <v>Regular</v>
      </c>
      <c r="X401" s="2" t="str">
        <f t="shared" si="62"/>
        <v>Discounted Bulk</v>
      </c>
    </row>
    <row r="402" spans="1:24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17</v>
      </c>
      <c r="F402" s="2" t="s">
        <v>30</v>
      </c>
      <c r="G402" s="2" t="s">
        <v>25</v>
      </c>
      <c r="H402" s="2" t="s">
        <v>36</v>
      </c>
      <c r="I402" s="2" t="s">
        <v>32</v>
      </c>
      <c r="J402" s="2" t="s">
        <v>49</v>
      </c>
      <c r="K402" s="2" t="s">
        <v>46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54"/>
        <v>2024.52</v>
      </c>
      <c r="Q402" s="2" t="str">
        <f t="shared" si="55"/>
        <v>No</v>
      </c>
      <c r="R402" s="2" t="str">
        <f t="shared" si="56"/>
        <v>No</v>
      </c>
      <c r="S402" s="2" t="str">
        <f t="shared" si="57"/>
        <v>Yes</v>
      </c>
      <c r="T402" s="2" t="str">
        <f t="shared" si="58"/>
        <v>Normal</v>
      </c>
      <c r="U402" s="2" t="str">
        <f t="shared" si="59"/>
        <v>Yes</v>
      </c>
      <c r="V402" s="2" t="str">
        <f t="shared" si="60"/>
        <v>Yes</v>
      </c>
      <c r="W402" s="2" t="str">
        <f t="shared" si="61"/>
        <v>Regular</v>
      </c>
      <c r="X402" s="2" t="str">
        <f t="shared" si="62"/>
        <v>Discounted Bulk</v>
      </c>
    </row>
    <row r="403" spans="1:24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41</v>
      </c>
      <c r="F403" s="2" t="s">
        <v>17</v>
      </c>
      <c r="G403" s="2" t="s">
        <v>25</v>
      </c>
      <c r="H403" s="2" t="s">
        <v>19</v>
      </c>
      <c r="I403" s="2" t="s">
        <v>50</v>
      </c>
      <c r="J403" s="2" t="s">
        <v>52</v>
      </c>
      <c r="K403" s="2" t="s">
        <v>29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54"/>
        <v>18926.04</v>
      </c>
      <c r="Q403" s="2" t="str">
        <f t="shared" si="55"/>
        <v>Yes</v>
      </c>
      <c r="R403" s="2" t="str">
        <f t="shared" si="56"/>
        <v>No</v>
      </c>
      <c r="S403" s="2" t="str">
        <f t="shared" si="57"/>
        <v>Yes</v>
      </c>
      <c r="T403" s="2" t="str">
        <f t="shared" si="58"/>
        <v>Normal</v>
      </c>
      <c r="U403" s="2" t="str">
        <f t="shared" si="59"/>
        <v>Yes</v>
      </c>
      <c r="V403" s="2" t="str">
        <f t="shared" si="60"/>
        <v>Yes</v>
      </c>
      <c r="W403" s="2" t="str">
        <f t="shared" si="61"/>
        <v>Premium</v>
      </c>
      <c r="X403" s="2" t="str">
        <f t="shared" si="62"/>
        <v>Discounted Bulk</v>
      </c>
    </row>
    <row r="404" spans="1:24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17</v>
      </c>
      <c r="F404" s="2" t="s">
        <v>39</v>
      </c>
      <c r="G404" s="2" t="s">
        <v>25</v>
      </c>
      <c r="H404" s="2" t="s">
        <v>45</v>
      </c>
      <c r="I404" s="2" t="s">
        <v>27</v>
      </c>
      <c r="J404" s="2" t="s">
        <v>37</v>
      </c>
      <c r="K404" s="2" t="s">
        <v>22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54"/>
        <v>2743.75</v>
      </c>
      <c r="Q404" s="2" t="str">
        <f t="shared" si="55"/>
        <v>No</v>
      </c>
      <c r="R404" s="2" t="str">
        <f t="shared" si="56"/>
        <v>No</v>
      </c>
      <c r="S404" s="2" t="str">
        <f t="shared" si="57"/>
        <v>Yes</v>
      </c>
      <c r="T404" s="2" t="str">
        <f t="shared" si="58"/>
        <v>Normal</v>
      </c>
      <c r="U404" s="2" t="str">
        <f t="shared" si="59"/>
        <v>Yes</v>
      </c>
      <c r="V404" s="2" t="str">
        <f t="shared" si="60"/>
        <v>Yes</v>
      </c>
      <c r="W404" s="2" t="str">
        <f t="shared" si="61"/>
        <v>Regular</v>
      </c>
      <c r="X404" s="2" t="str">
        <f t="shared" si="62"/>
        <v>Discounted Bulk</v>
      </c>
    </row>
    <row r="405" spans="1:24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17</v>
      </c>
      <c r="F405" s="2" t="s">
        <v>55</v>
      </c>
      <c r="G405" s="2" t="s">
        <v>18</v>
      </c>
      <c r="H405" s="2" t="s">
        <v>26</v>
      </c>
      <c r="I405" s="2" t="s">
        <v>20</v>
      </c>
      <c r="J405" s="2" t="s">
        <v>67</v>
      </c>
      <c r="K405" s="2" t="s">
        <v>46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54"/>
        <v>12419.48</v>
      </c>
      <c r="Q405" s="2" t="str">
        <f t="shared" si="55"/>
        <v>No</v>
      </c>
      <c r="R405" s="2" t="str">
        <f t="shared" si="56"/>
        <v>No</v>
      </c>
      <c r="S405" s="2" t="str">
        <f t="shared" si="57"/>
        <v>Yes</v>
      </c>
      <c r="T405" s="2" t="str">
        <f t="shared" si="58"/>
        <v>Normal</v>
      </c>
      <c r="U405" s="2" t="str">
        <f t="shared" si="59"/>
        <v>No</v>
      </c>
      <c r="V405" s="2" t="str">
        <f t="shared" si="60"/>
        <v>No</v>
      </c>
      <c r="W405" s="2" t="str">
        <f t="shared" si="61"/>
        <v>Regular</v>
      </c>
      <c r="X405" s="2" t="str">
        <f t="shared" si="62"/>
        <v>Discounted Bulk</v>
      </c>
    </row>
    <row r="406" spans="1:24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47</v>
      </c>
      <c r="F406" s="2" t="s">
        <v>24</v>
      </c>
      <c r="G406" s="2" t="s">
        <v>25</v>
      </c>
      <c r="H406" s="2" t="s">
        <v>26</v>
      </c>
      <c r="I406" s="2" t="s">
        <v>20</v>
      </c>
      <c r="J406" s="2" t="s">
        <v>67</v>
      </c>
      <c r="K406" s="2" t="s">
        <v>46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54"/>
        <v>5335.96</v>
      </c>
      <c r="Q406" s="2" t="str">
        <f t="shared" si="55"/>
        <v>No</v>
      </c>
      <c r="R406" s="2" t="str">
        <f t="shared" si="56"/>
        <v>No</v>
      </c>
      <c r="S406" s="2" t="str">
        <f t="shared" si="57"/>
        <v>Yes</v>
      </c>
      <c r="T406" s="2" t="str">
        <f t="shared" si="58"/>
        <v>Normal</v>
      </c>
      <c r="U406" s="2" t="str">
        <f t="shared" si="59"/>
        <v>Yes</v>
      </c>
      <c r="V406" s="2" t="str">
        <f t="shared" si="60"/>
        <v>Yes</v>
      </c>
      <c r="W406" s="2" t="str">
        <f t="shared" si="61"/>
        <v>Regular</v>
      </c>
      <c r="X406" s="2" t="str">
        <f t="shared" si="62"/>
        <v>Discounted Bulk</v>
      </c>
    </row>
    <row r="407" spans="1:24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17</v>
      </c>
      <c r="F407" s="2" t="s">
        <v>30</v>
      </c>
      <c r="G407" s="2" t="s">
        <v>31</v>
      </c>
      <c r="H407" s="2" t="s">
        <v>45</v>
      </c>
      <c r="I407" s="2" t="s">
        <v>50</v>
      </c>
      <c r="J407" s="2" t="s">
        <v>52</v>
      </c>
      <c r="K407" s="2" t="s">
        <v>22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54"/>
        <v>2044.41</v>
      </c>
      <c r="Q407" s="2" t="str">
        <f t="shared" si="55"/>
        <v>No</v>
      </c>
      <c r="R407" s="2" t="str">
        <f t="shared" si="56"/>
        <v>No</v>
      </c>
      <c r="S407" s="2" t="str">
        <f t="shared" si="57"/>
        <v>No</v>
      </c>
      <c r="T407" s="2" t="str">
        <f t="shared" si="58"/>
        <v>Normal</v>
      </c>
      <c r="U407" s="2" t="str">
        <f t="shared" si="59"/>
        <v>No</v>
      </c>
      <c r="V407" s="2" t="str">
        <f t="shared" si="60"/>
        <v>No</v>
      </c>
      <c r="W407" s="2" t="str">
        <f t="shared" si="61"/>
        <v>Regular</v>
      </c>
      <c r="X407" s="2" t="str">
        <f t="shared" si="62"/>
        <v>Discounted Bulk</v>
      </c>
    </row>
    <row r="408" spans="1:24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23</v>
      </c>
      <c r="F408" s="2" t="s">
        <v>24</v>
      </c>
      <c r="G408" s="2" t="s">
        <v>25</v>
      </c>
      <c r="H408" s="2" t="s">
        <v>26</v>
      </c>
      <c r="I408" s="2" t="s">
        <v>53</v>
      </c>
      <c r="J408" s="2" t="s">
        <v>54</v>
      </c>
      <c r="K408" s="2" t="s">
        <v>34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54"/>
        <v>28949.040000000001</v>
      </c>
      <c r="Q408" s="2" t="str">
        <f t="shared" si="55"/>
        <v>Yes</v>
      </c>
      <c r="R408" s="2" t="str">
        <f t="shared" si="56"/>
        <v>Yes</v>
      </c>
      <c r="S408" s="2" t="str">
        <f t="shared" si="57"/>
        <v>Yes</v>
      </c>
      <c r="T408" s="2" t="str">
        <f t="shared" si="58"/>
        <v>Normal</v>
      </c>
      <c r="U408" s="2" t="str">
        <f t="shared" si="59"/>
        <v>Yes</v>
      </c>
      <c r="V408" s="2" t="str">
        <f t="shared" si="60"/>
        <v>Yes</v>
      </c>
      <c r="W408" s="2" t="str">
        <f t="shared" si="61"/>
        <v>Premium</v>
      </c>
      <c r="X408" s="2" t="str">
        <f t="shared" si="62"/>
        <v>Non Discounted Bulk</v>
      </c>
    </row>
    <row r="409" spans="1:24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47</v>
      </c>
      <c r="F409" s="2" t="s">
        <v>42</v>
      </c>
      <c r="G409" s="2" t="s">
        <v>31</v>
      </c>
      <c r="H409" s="2" t="s">
        <v>19</v>
      </c>
      <c r="I409" s="2" t="s">
        <v>50</v>
      </c>
      <c r="J409" s="2" t="s">
        <v>64</v>
      </c>
      <c r="K409" s="2" t="s">
        <v>46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54"/>
        <v>4181.12</v>
      </c>
      <c r="Q409" s="2" t="str">
        <f t="shared" si="55"/>
        <v>No</v>
      </c>
      <c r="R409" s="2" t="str">
        <f t="shared" si="56"/>
        <v>No</v>
      </c>
      <c r="S409" s="2" t="str">
        <f t="shared" si="57"/>
        <v>No</v>
      </c>
      <c r="T409" s="2" t="str">
        <f t="shared" si="58"/>
        <v>Normal</v>
      </c>
      <c r="U409" s="2" t="str">
        <f t="shared" si="59"/>
        <v>No</v>
      </c>
      <c r="V409" s="2" t="str">
        <f t="shared" si="60"/>
        <v>No</v>
      </c>
      <c r="W409" s="2" t="str">
        <f t="shared" si="61"/>
        <v>Regular</v>
      </c>
      <c r="X409" s="2" t="str">
        <f t="shared" si="62"/>
        <v>Discounted Bulk</v>
      </c>
    </row>
    <row r="410" spans="1:24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38</v>
      </c>
      <c r="F410" s="2" t="s">
        <v>17</v>
      </c>
      <c r="G410" s="2" t="s">
        <v>25</v>
      </c>
      <c r="H410" s="2" t="s">
        <v>19</v>
      </c>
      <c r="I410" s="2" t="s">
        <v>32</v>
      </c>
      <c r="J410" s="2" t="s">
        <v>40</v>
      </c>
      <c r="K410" s="2" t="s">
        <v>34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54"/>
        <v>7141.6100000000006</v>
      </c>
      <c r="Q410" s="2" t="str">
        <f t="shared" si="55"/>
        <v>No</v>
      </c>
      <c r="R410" s="2" t="str">
        <f t="shared" si="56"/>
        <v>No</v>
      </c>
      <c r="S410" s="2" t="str">
        <f t="shared" si="57"/>
        <v>Yes</v>
      </c>
      <c r="T410" s="2" t="str">
        <f t="shared" si="58"/>
        <v>Normal</v>
      </c>
      <c r="U410" s="2" t="str">
        <f t="shared" si="59"/>
        <v>Yes</v>
      </c>
      <c r="V410" s="2" t="str">
        <f t="shared" si="60"/>
        <v>Yes</v>
      </c>
      <c r="W410" s="2" t="str">
        <f t="shared" si="61"/>
        <v>Regular</v>
      </c>
      <c r="X410" s="2" t="str">
        <f t="shared" si="62"/>
        <v>Discounted Bulk</v>
      </c>
    </row>
    <row r="411" spans="1:24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35</v>
      </c>
      <c r="F411" s="2" t="s">
        <v>24</v>
      </c>
      <c r="G411" s="2" t="s">
        <v>31</v>
      </c>
      <c r="H411" s="2" t="s">
        <v>45</v>
      </c>
      <c r="I411" s="2" t="s">
        <v>50</v>
      </c>
      <c r="J411" s="2" t="s">
        <v>51</v>
      </c>
      <c r="K411" s="2" t="s">
        <v>22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54"/>
        <v>6814.6500000000005</v>
      </c>
      <c r="Q411" s="2" t="str">
        <f t="shared" si="55"/>
        <v>No</v>
      </c>
      <c r="R411" s="2" t="str">
        <f t="shared" si="56"/>
        <v>No</v>
      </c>
      <c r="S411" s="2" t="str">
        <f t="shared" si="57"/>
        <v>No</v>
      </c>
      <c r="T411" s="2" t="str">
        <f t="shared" si="58"/>
        <v>Normal</v>
      </c>
      <c r="U411" s="2" t="str">
        <f t="shared" si="59"/>
        <v>No</v>
      </c>
      <c r="V411" s="2" t="str">
        <f t="shared" si="60"/>
        <v>No</v>
      </c>
      <c r="W411" s="2" t="str">
        <f t="shared" si="61"/>
        <v>Regular</v>
      </c>
      <c r="X411" s="2" t="str">
        <f t="shared" si="62"/>
        <v>Discounted Bulk</v>
      </c>
    </row>
    <row r="412" spans="1:24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47</v>
      </c>
      <c r="F412" s="2" t="s">
        <v>17</v>
      </c>
      <c r="G412" s="2" t="s">
        <v>31</v>
      </c>
      <c r="H412" s="2" t="s">
        <v>26</v>
      </c>
      <c r="I412" s="2" t="s">
        <v>20</v>
      </c>
      <c r="J412" s="2" t="s">
        <v>44</v>
      </c>
      <c r="K412" s="2" t="s">
        <v>34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54"/>
        <v>6497.16</v>
      </c>
      <c r="Q412" s="2" t="str">
        <f t="shared" si="55"/>
        <v>No</v>
      </c>
      <c r="R412" s="2" t="str">
        <f t="shared" si="56"/>
        <v>No</v>
      </c>
      <c r="S412" s="2" t="str">
        <f t="shared" si="57"/>
        <v>No</v>
      </c>
      <c r="T412" s="2" t="str">
        <f t="shared" si="58"/>
        <v>Normal</v>
      </c>
      <c r="U412" s="2" t="str">
        <f t="shared" si="59"/>
        <v>No</v>
      </c>
      <c r="V412" s="2" t="str">
        <f t="shared" si="60"/>
        <v>No</v>
      </c>
      <c r="W412" s="2" t="str">
        <f t="shared" si="61"/>
        <v>Regular</v>
      </c>
      <c r="X412" s="2" t="str">
        <f t="shared" si="62"/>
        <v>Discounted Bulk</v>
      </c>
    </row>
    <row r="413" spans="1:24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41</v>
      </c>
      <c r="F413" s="2" t="s">
        <v>24</v>
      </c>
      <c r="G413" s="2" t="s">
        <v>25</v>
      </c>
      <c r="H413" s="2" t="s">
        <v>19</v>
      </c>
      <c r="I413" s="2" t="s">
        <v>50</v>
      </c>
      <c r="J413" s="2" t="s">
        <v>64</v>
      </c>
      <c r="K413" s="2" t="s">
        <v>48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54"/>
        <v>9893.68</v>
      </c>
      <c r="Q413" s="2" t="str">
        <f t="shared" si="55"/>
        <v>No</v>
      </c>
      <c r="R413" s="2" t="str">
        <f t="shared" si="56"/>
        <v>Yes</v>
      </c>
      <c r="S413" s="2" t="str">
        <f t="shared" si="57"/>
        <v>Yes</v>
      </c>
      <c r="T413" s="2" t="str">
        <f t="shared" si="58"/>
        <v>Normal</v>
      </c>
      <c r="U413" s="2" t="str">
        <f t="shared" si="59"/>
        <v>Yes</v>
      </c>
      <c r="V413" s="2" t="str">
        <f t="shared" si="60"/>
        <v>Yes</v>
      </c>
      <c r="W413" s="2" t="str">
        <f t="shared" si="61"/>
        <v>Regular</v>
      </c>
      <c r="X413" s="2" t="str">
        <f t="shared" si="62"/>
        <v>Non Discounted Bulk</v>
      </c>
    </row>
    <row r="414" spans="1:24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38</v>
      </c>
      <c r="F414" s="2" t="s">
        <v>55</v>
      </c>
      <c r="G414" s="2" t="s">
        <v>25</v>
      </c>
      <c r="H414" s="2" t="s">
        <v>19</v>
      </c>
      <c r="I414" s="2" t="s">
        <v>53</v>
      </c>
      <c r="J414" s="2" t="s">
        <v>54</v>
      </c>
      <c r="K414" s="2" t="s">
        <v>29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54"/>
        <v>10380.719999999999</v>
      </c>
      <c r="Q414" s="2" t="str">
        <f t="shared" si="55"/>
        <v>Yes</v>
      </c>
      <c r="R414" s="2" t="str">
        <f t="shared" si="56"/>
        <v>No</v>
      </c>
      <c r="S414" s="2" t="str">
        <f t="shared" si="57"/>
        <v>Yes</v>
      </c>
      <c r="T414" s="2" t="str">
        <f t="shared" si="58"/>
        <v>Normal</v>
      </c>
      <c r="U414" s="2" t="str">
        <f t="shared" si="59"/>
        <v>Yes</v>
      </c>
      <c r="V414" s="2" t="str">
        <f t="shared" si="60"/>
        <v>Yes</v>
      </c>
      <c r="W414" s="2" t="str">
        <f t="shared" si="61"/>
        <v>Regular</v>
      </c>
      <c r="X414" s="2" t="str">
        <f t="shared" si="62"/>
        <v>Discounted Bulk</v>
      </c>
    </row>
    <row r="415" spans="1:24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47</v>
      </c>
      <c r="F415" s="2" t="s">
        <v>55</v>
      </c>
      <c r="G415" s="2" t="s">
        <v>31</v>
      </c>
      <c r="H415" s="2" t="s">
        <v>43</v>
      </c>
      <c r="I415" s="2" t="s">
        <v>27</v>
      </c>
      <c r="J415" s="2" t="s">
        <v>37</v>
      </c>
      <c r="K415" s="2" t="s">
        <v>46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54"/>
        <v>1219.7</v>
      </c>
      <c r="Q415" s="2" t="str">
        <f t="shared" si="55"/>
        <v>No</v>
      </c>
      <c r="R415" s="2" t="str">
        <f t="shared" si="56"/>
        <v>No</v>
      </c>
      <c r="S415" s="2" t="str">
        <f t="shared" si="57"/>
        <v>No</v>
      </c>
      <c r="T415" s="2" t="str">
        <f t="shared" si="58"/>
        <v>Normal</v>
      </c>
      <c r="U415" s="2" t="str">
        <f t="shared" si="59"/>
        <v>No</v>
      </c>
      <c r="V415" s="2" t="str">
        <f t="shared" si="60"/>
        <v>No</v>
      </c>
      <c r="W415" s="2" t="str">
        <f t="shared" si="61"/>
        <v>Regular</v>
      </c>
      <c r="X415" s="2" t="str">
        <f t="shared" si="62"/>
        <v>Discounted Bulk</v>
      </c>
    </row>
    <row r="416" spans="1:24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47</v>
      </c>
      <c r="F416" s="2" t="s">
        <v>55</v>
      </c>
      <c r="G416" s="2" t="s">
        <v>18</v>
      </c>
      <c r="H416" s="2" t="s">
        <v>43</v>
      </c>
      <c r="I416" s="2" t="s">
        <v>58</v>
      </c>
      <c r="J416" s="2" t="s">
        <v>68</v>
      </c>
      <c r="K416" s="2" t="s">
        <v>29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54"/>
        <v>6240.64</v>
      </c>
      <c r="Q416" s="2" t="str">
        <f t="shared" si="55"/>
        <v>No</v>
      </c>
      <c r="R416" s="2" t="str">
        <f t="shared" si="56"/>
        <v>No</v>
      </c>
      <c r="S416" s="2" t="str">
        <f t="shared" si="57"/>
        <v>Yes</v>
      </c>
      <c r="T416" s="2" t="str">
        <f t="shared" si="58"/>
        <v>Normal</v>
      </c>
      <c r="U416" s="2" t="str">
        <f t="shared" si="59"/>
        <v>No</v>
      </c>
      <c r="V416" s="2" t="str">
        <f t="shared" si="60"/>
        <v>No</v>
      </c>
      <c r="W416" s="2" t="str">
        <f t="shared" si="61"/>
        <v>Regular</v>
      </c>
      <c r="X416" s="2" t="str">
        <f t="shared" si="62"/>
        <v>Discounted Bulk</v>
      </c>
    </row>
    <row r="417" spans="1:24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35</v>
      </c>
      <c r="F417" s="2" t="s">
        <v>55</v>
      </c>
      <c r="G417" s="2" t="s">
        <v>25</v>
      </c>
      <c r="H417" s="2" t="s">
        <v>19</v>
      </c>
      <c r="I417" s="2" t="s">
        <v>50</v>
      </c>
      <c r="J417" s="2" t="s">
        <v>64</v>
      </c>
      <c r="K417" s="2" t="s">
        <v>34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54"/>
        <v>21278.560000000001</v>
      </c>
      <c r="Q417" s="2" t="str">
        <f t="shared" si="55"/>
        <v>Yes</v>
      </c>
      <c r="R417" s="2" t="str">
        <f t="shared" si="56"/>
        <v>No</v>
      </c>
      <c r="S417" s="2" t="str">
        <f t="shared" si="57"/>
        <v>Yes</v>
      </c>
      <c r="T417" s="2" t="str">
        <f t="shared" si="58"/>
        <v>Normal</v>
      </c>
      <c r="U417" s="2" t="str">
        <f t="shared" si="59"/>
        <v>Yes</v>
      </c>
      <c r="V417" s="2" t="str">
        <f t="shared" si="60"/>
        <v>Yes</v>
      </c>
      <c r="W417" s="2" t="str">
        <f t="shared" si="61"/>
        <v>Premium</v>
      </c>
      <c r="X417" s="2" t="str">
        <f t="shared" si="62"/>
        <v>Discounted Bulk</v>
      </c>
    </row>
    <row r="418" spans="1:24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23</v>
      </c>
      <c r="F418" s="2" t="s">
        <v>55</v>
      </c>
      <c r="G418" s="2" t="s">
        <v>18</v>
      </c>
      <c r="H418" s="2" t="s">
        <v>45</v>
      </c>
      <c r="I418" s="2" t="s">
        <v>53</v>
      </c>
      <c r="J418" s="2" t="s">
        <v>65</v>
      </c>
      <c r="K418" s="2" t="s">
        <v>46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54"/>
        <v>3354.81</v>
      </c>
      <c r="Q418" s="2" t="str">
        <f t="shared" si="55"/>
        <v>No</v>
      </c>
      <c r="R418" s="2" t="str">
        <f t="shared" si="56"/>
        <v>No</v>
      </c>
      <c r="S418" s="2" t="str">
        <f t="shared" si="57"/>
        <v>Yes</v>
      </c>
      <c r="T418" s="2" t="str">
        <f t="shared" si="58"/>
        <v>Normal</v>
      </c>
      <c r="U418" s="2" t="str">
        <f t="shared" si="59"/>
        <v>No</v>
      </c>
      <c r="V418" s="2" t="str">
        <f t="shared" si="60"/>
        <v>No</v>
      </c>
      <c r="W418" s="2" t="str">
        <f t="shared" si="61"/>
        <v>Regular</v>
      </c>
      <c r="X418" s="2" t="str">
        <f t="shared" si="62"/>
        <v>Discounted Bulk</v>
      </c>
    </row>
    <row r="419" spans="1:24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41</v>
      </c>
      <c r="F419" s="2" t="s">
        <v>55</v>
      </c>
      <c r="G419" s="2" t="s">
        <v>25</v>
      </c>
      <c r="H419" s="2" t="s">
        <v>36</v>
      </c>
      <c r="I419" s="2" t="s">
        <v>53</v>
      </c>
      <c r="J419" s="2" t="s">
        <v>57</v>
      </c>
      <c r="K419" s="2" t="s">
        <v>34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54"/>
        <v>31244.560000000001</v>
      </c>
      <c r="Q419" s="2" t="str">
        <f t="shared" si="55"/>
        <v>Yes</v>
      </c>
      <c r="R419" s="2" t="str">
        <f t="shared" si="56"/>
        <v>Yes</v>
      </c>
      <c r="S419" s="2" t="str">
        <f t="shared" si="57"/>
        <v>Yes</v>
      </c>
      <c r="T419" s="2" t="str">
        <f t="shared" si="58"/>
        <v>Normal</v>
      </c>
      <c r="U419" s="2" t="str">
        <f t="shared" si="59"/>
        <v>Yes</v>
      </c>
      <c r="V419" s="2" t="str">
        <f t="shared" si="60"/>
        <v>Yes</v>
      </c>
      <c r="W419" s="2" t="str">
        <f t="shared" si="61"/>
        <v>Premium</v>
      </c>
      <c r="X419" s="2" t="str">
        <f t="shared" si="62"/>
        <v>Non Discounted Bulk</v>
      </c>
    </row>
    <row r="420" spans="1:24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16</v>
      </c>
      <c r="F420" s="2" t="s">
        <v>17</v>
      </c>
      <c r="G420" s="2" t="s">
        <v>25</v>
      </c>
      <c r="H420" s="2" t="s">
        <v>36</v>
      </c>
      <c r="I420" s="2" t="s">
        <v>27</v>
      </c>
      <c r="J420" s="2" t="s">
        <v>28</v>
      </c>
      <c r="K420" s="2" t="s">
        <v>48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54"/>
        <v>15804.24</v>
      </c>
      <c r="Q420" s="2" t="str">
        <f t="shared" si="55"/>
        <v>Yes</v>
      </c>
      <c r="R420" s="2" t="str">
        <f t="shared" si="56"/>
        <v>No</v>
      </c>
      <c r="S420" s="2" t="str">
        <f t="shared" si="57"/>
        <v>Yes</v>
      </c>
      <c r="T420" s="2" t="str">
        <f t="shared" si="58"/>
        <v>Normal</v>
      </c>
      <c r="U420" s="2" t="str">
        <f t="shared" si="59"/>
        <v>Yes</v>
      </c>
      <c r="V420" s="2" t="str">
        <f t="shared" si="60"/>
        <v>Yes</v>
      </c>
      <c r="W420" s="2" t="str">
        <f t="shared" si="61"/>
        <v>Regular</v>
      </c>
      <c r="X420" s="2" t="str">
        <f t="shared" si="62"/>
        <v>Non Discounted Bulk</v>
      </c>
    </row>
    <row r="421" spans="1:24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16</v>
      </c>
      <c r="F421" s="2" t="s">
        <v>30</v>
      </c>
      <c r="G421" s="2" t="s">
        <v>25</v>
      </c>
      <c r="H421" s="2" t="s">
        <v>19</v>
      </c>
      <c r="I421" s="2" t="s">
        <v>20</v>
      </c>
      <c r="J421" s="2" t="s">
        <v>67</v>
      </c>
      <c r="K421" s="2" t="s">
        <v>22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54"/>
        <v>813.54</v>
      </c>
      <c r="Q421" s="2" t="str">
        <f t="shared" si="55"/>
        <v>No</v>
      </c>
      <c r="R421" s="2" t="str">
        <f t="shared" si="56"/>
        <v>No</v>
      </c>
      <c r="S421" s="2" t="str">
        <f t="shared" si="57"/>
        <v>Yes</v>
      </c>
      <c r="T421" s="2" t="str">
        <f t="shared" si="58"/>
        <v>Special Attention</v>
      </c>
      <c r="U421" s="2" t="str">
        <f t="shared" si="59"/>
        <v>Yes</v>
      </c>
      <c r="V421" s="2" t="str">
        <f t="shared" si="60"/>
        <v>Yes</v>
      </c>
      <c r="W421" s="2" t="str">
        <f t="shared" si="61"/>
        <v>Regular</v>
      </c>
      <c r="X421" s="2" t="str">
        <f t="shared" si="62"/>
        <v>Discounted Bulk</v>
      </c>
    </row>
    <row r="422" spans="1:24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47</v>
      </c>
      <c r="F422" s="2" t="s">
        <v>24</v>
      </c>
      <c r="G422" s="2" t="s">
        <v>25</v>
      </c>
      <c r="H422" s="2" t="s">
        <v>19</v>
      </c>
      <c r="I422" s="2" t="s">
        <v>53</v>
      </c>
      <c r="J422" s="2" t="s">
        <v>65</v>
      </c>
      <c r="K422" s="2" t="s">
        <v>46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54"/>
        <v>1340.64</v>
      </c>
      <c r="Q422" s="2" t="str">
        <f t="shared" si="55"/>
        <v>No</v>
      </c>
      <c r="R422" s="2" t="str">
        <f t="shared" si="56"/>
        <v>No</v>
      </c>
      <c r="S422" s="2" t="str">
        <f t="shared" si="57"/>
        <v>Yes</v>
      </c>
      <c r="T422" s="2" t="str">
        <f t="shared" si="58"/>
        <v>Normal</v>
      </c>
      <c r="U422" s="2" t="str">
        <f t="shared" si="59"/>
        <v>Yes</v>
      </c>
      <c r="V422" s="2" t="str">
        <f t="shared" si="60"/>
        <v>Yes</v>
      </c>
      <c r="W422" s="2" t="str">
        <f t="shared" si="61"/>
        <v>Regular</v>
      </c>
      <c r="X422" s="2" t="str">
        <f t="shared" si="62"/>
        <v>Discounted Bulk</v>
      </c>
    </row>
    <row r="423" spans="1:24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17</v>
      </c>
      <c r="F423" s="2" t="s">
        <v>55</v>
      </c>
      <c r="G423" s="2" t="s">
        <v>18</v>
      </c>
      <c r="H423" s="2" t="s">
        <v>19</v>
      </c>
      <c r="I423" s="2" t="s">
        <v>53</v>
      </c>
      <c r="J423" s="2" t="s">
        <v>65</v>
      </c>
      <c r="K423" s="2" t="s">
        <v>48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54"/>
        <v>7729.86</v>
      </c>
      <c r="Q423" s="2" t="str">
        <f t="shared" si="55"/>
        <v>No</v>
      </c>
      <c r="R423" s="2" t="str">
        <f t="shared" si="56"/>
        <v>No</v>
      </c>
      <c r="S423" s="2" t="str">
        <f t="shared" si="57"/>
        <v>Yes</v>
      </c>
      <c r="T423" s="2" t="str">
        <f t="shared" si="58"/>
        <v>Normal</v>
      </c>
      <c r="U423" s="2" t="str">
        <f t="shared" si="59"/>
        <v>No</v>
      </c>
      <c r="V423" s="2" t="str">
        <f t="shared" si="60"/>
        <v>No</v>
      </c>
      <c r="W423" s="2" t="str">
        <f t="shared" si="61"/>
        <v>Regular</v>
      </c>
      <c r="X423" s="2" t="str">
        <f t="shared" si="62"/>
        <v>Discounted Bulk</v>
      </c>
    </row>
    <row r="424" spans="1:24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41</v>
      </c>
      <c r="F424" s="2" t="s">
        <v>17</v>
      </c>
      <c r="G424" s="2" t="s">
        <v>25</v>
      </c>
      <c r="H424" s="2" t="s">
        <v>45</v>
      </c>
      <c r="I424" s="2" t="s">
        <v>53</v>
      </c>
      <c r="J424" s="2" t="s">
        <v>61</v>
      </c>
      <c r="K424" s="2" t="s">
        <v>48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54"/>
        <v>33662.700000000004</v>
      </c>
      <c r="Q424" s="2" t="str">
        <f t="shared" si="55"/>
        <v>Yes</v>
      </c>
      <c r="R424" s="2" t="str">
        <f t="shared" si="56"/>
        <v>Yes</v>
      </c>
      <c r="S424" s="2" t="str">
        <f t="shared" si="57"/>
        <v>Yes</v>
      </c>
      <c r="T424" s="2" t="str">
        <f t="shared" si="58"/>
        <v>Normal</v>
      </c>
      <c r="U424" s="2" t="str">
        <f t="shared" si="59"/>
        <v>Yes</v>
      </c>
      <c r="V424" s="2" t="str">
        <f t="shared" si="60"/>
        <v>Yes</v>
      </c>
      <c r="W424" s="2" t="str">
        <f t="shared" si="61"/>
        <v>Premium</v>
      </c>
      <c r="X424" s="2" t="str">
        <f t="shared" si="62"/>
        <v>Non Discounted Bulk</v>
      </c>
    </row>
    <row r="425" spans="1:24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38</v>
      </c>
      <c r="F425" s="2" t="s">
        <v>17</v>
      </c>
      <c r="G425" s="2" t="s">
        <v>31</v>
      </c>
      <c r="H425" s="2" t="s">
        <v>43</v>
      </c>
      <c r="I425" s="2" t="s">
        <v>53</v>
      </c>
      <c r="J425" s="2" t="s">
        <v>57</v>
      </c>
      <c r="K425" s="2" t="s">
        <v>46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54"/>
        <v>17314.96</v>
      </c>
      <c r="Q425" s="2" t="str">
        <f t="shared" si="55"/>
        <v>Yes</v>
      </c>
      <c r="R425" s="2" t="str">
        <f t="shared" si="56"/>
        <v>Yes</v>
      </c>
      <c r="S425" s="2" t="str">
        <f t="shared" si="57"/>
        <v>No</v>
      </c>
      <c r="T425" s="2" t="str">
        <f t="shared" si="58"/>
        <v>Normal</v>
      </c>
      <c r="U425" s="2" t="str">
        <f t="shared" si="59"/>
        <v>No</v>
      </c>
      <c r="V425" s="2" t="str">
        <f t="shared" si="60"/>
        <v>No</v>
      </c>
      <c r="W425" s="2" t="str">
        <f t="shared" si="61"/>
        <v>Premium</v>
      </c>
      <c r="X425" s="2" t="str">
        <f t="shared" si="62"/>
        <v>Non Discounted Bulk</v>
      </c>
    </row>
    <row r="426" spans="1:24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17</v>
      </c>
      <c r="F426" s="2" t="s">
        <v>17</v>
      </c>
      <c r="G426" s="2" t="s">
        <v>31</v>
      </c>
      <c r="H426" s="2" t="s">
        <v>19</v>
      </c>
      <c r="I426" s="2" t="s">
        <v>32</v>
      </c>
      <c r="J426" s="2" t="s">
        <v>40</v>
      </c>
      <c r="K426" s="2" t="s">
        <v>34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54"/>
        <v>9571.0400000000009</v>
      </c>
      <c r="Q426" s="2" t="str">
        <f t="shared" si="55"/>
        <v>No</v>
      </c>
      <c r="R426" s="2" t="str">
        <f t="shared" si="56"/>
        <v>Yes</v>
      </c>
      <c r="S426" s="2" t="str">
        <f t="shared" si="57"/>
        <v>No</v>
      </c>
      <c r="T426" s="2" t="str">
        <f t="shared" si="58"/>
        <v>Normal</v>
      </c>
      <c r="U426" s="2" t="str">
        <f t="shared" si="59"/>
        <v>No</v>
      </c>
      <c r="V426" s="2" t="str">
        <f t="shared" si="60"/>
        <v>No</v>
      </c>
      <c r="W426" s="2" t="str">
        <f t="shared" si="61"/>
        <v>Regular</v>
      </c>
      <c r="X426" s="2" t="str">
        <f t="shared" si="62"/>
        <v>Non Discounted Bulk</v>
      </c>
    </row>
    <row r="427" spans="1:24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17</v>
      </c>
      <c r="F427" s="2" t="s">
        <v>30</v>
      </c>
      <c r="G427" s="2" t="s">
        <v>18</v>
      </c>
      <c r="H427" s="2" t="s">
        <v>19</v>
      </c>
      <c r="I427" s="2" t="s">
        <v>32</v>
      </c>
      <c r="J427" s="2" t="s">
        <v>33</v>
      </c>
      <c r="K427" s="2" t="s">
        <v>48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54"/>
        <v>11807.529999999999</v>
      </c>
      <c r="Q427" s="2" t="str">
        <f t="shared" si="55"/>
        <v>Yes</v>
      </c>
      <c r="R427" s="2" t="str">
        <f t="shared" si="56"/>
        <v>No</v>
      </c>
      <c r="S427" s="2" t="str">
        <f t="shared" si="57"/>
        <v>Yes</v>
      </c>
      <c r="T427" s="2" t="str">
        <f t="shared" si="58"/>
        <v>Normal</v>
      </c>
      <c r="U427" s="2" t="str">
        <f t="shared" si="59"/>
        <v>No</v>
      </c>
      <c r="V427" s="2" t="str">
        <f t="shared" si="60"/>
        <v>No</v>
      </c>
      <c r="W427" s="2" t="str">
        <f t="shared" si="61"/>
        <v>Regular</v>
      </c>
      <c r="X427" s="2" t="str">
        <f t="shared" si="62"/>
        <v>Discounted Bulk</v>
      </c>
    </row>
    <row r="428" spans="1:24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41</v>
      </c>
      <c r="F428" s="2" t="s">
        <v>24</v>
      </c>
      <c r="G428" s="2" t="s">
        <v>25</v>
      </c>
      <c r="H428" s="2" t="s">
        <v>26</v>
      </c>
      <c r="I428" s="2" t="s">
        <v>20</v>
      </c>
      <c r="J428" s="2" t="s">
        <v>56</v>
      </c>
      <c r="K428" s="2" t="s">
        <v>29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54"/>
        <v>22091.31</v>
      </c>
      <c r="Q428" s="2" t="str">
        <f t="shared" si="55"/>
        <v>Yes</v>
      </c>
      <c r="R428" s="2" t="str">
        <f t="shared" si="56"/>
        <v>No</v>
      </c>
      <c r="S428" s="2" t="str">
        <f t="shared" si="57"/>
        <v>Yes</v>
      </c>
      <c r="T428" s="2" t="str">
        <f t="shared" si="58"/>
        <v>Normal</v>
      </c>
      <c r="U428" s="2" t="str">
        <f t="shared" si="59"/>
        <v>Yes</v>
      </c>
      <c r="V428" s="2" t="str">
        <f t="shared" si="60"/>
        <v>Yes</v>
      </c>
      <c r="W428" s="2" t="str">
        <f t="shared" si="61"/>
        <v>Regular</v>
      </c>
      <c r="X428" s="2" t="str">
        <f t="shared" si="62"/>
        <v>Non Discounted Bulk</v>
      </c>
    </row>
    <row r="429" spans="1:24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23</v>
      </c>
      <c r="F429" s="2" t="s">
        <v>30</v>
      </c>
      <c r="G429" s="2" t="s">
        <v>31</v>
      </c>
      <c r="H429" s="2" t="s">
        <v>45</v>
      </c>
      <c r="I429" s="2" t="s">
        <v>50</v>
      </c>
      <c r="J429" s="2" t="s">
        <v>52</v>
      </c>
      <c r="K429" s="2" t="s">
        <v>48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54"/>
        <v>5327.72</v>
      </c>
      <c r="Q429" s="2" t="str">
        <f t="shared" si="55"/>
        <v>No</v>
      </c>
      <c r="R429" s="2" t="str">
        <f t="shared" si="56"/>
        <v>No</v>
      </c>
      <c r="S429" s="2" t="str">
        <f t="shared" si="57"/>
        <v>No</v>
      </c>
      <c r="T429" s="2" t="str">
        <f t="shared" si="58"/>
        <v>Normal</v>
      </c>
      <c r="U429" s="2" t="str">
        <f t="shared" si="59"/>
        <v>No</v>
      </c>
      <c r="V429" s="2" t="str">
        <f t="shared" si="60"/>
        <v>No</v>
      </c>
      <c r="W429" s="2" t="str">
        <f t="shared" si="61"/>
        <v>Regular</v>
      </c>
      <c r="X429" s="2" t="str">
        <f t="shared" si="62"/>
        <v>Discounted Bulk</v>
      </c>
    </row>
    <row r="430" spans="1:24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47</v>
      </c>
      <c r="F430" s="2" t="s">
        <v>39</v>
      </c>
      <c r="G430" s="2" t="s">
        <v>18</v>
      </c>
      <c r="H430" s="2" t="s">
        <v>19</v>
      </c>
      <c r="I430" s="2" t="s">
        <v>53</v>
      </c>
      <c r="J430" s="2" t="s">
        <v>57</v>
      </c>
      <c r="K430" s="2" t="s">
        <v>34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54"/>
        <v>2227.77</v>
      </c>
      <c r="Q430" s="2" t="str">
        <f t="shared" si="55"/>
        <v>No</v>
      </c>
      <c r="R430" s="2" t="str">
        <f t="shared" si="56"/>
        <v>No</v>
      </c>
      <c r="S430" s="2" t="str">
        <f t="shared" si="57"/>
        <v>Yes</v>
      </c>
      <c r="T430" s="2" t="str">
        <f t="shared" si="58"/>
        <v>Normal</v>
      </c>
      <c r="U430" s="2" t="str">
        <f t="shared" si="59"/>
        <v>No</v>
      </c>
      <c r="V430" s="2" t="str">
        <f t="shared" si="60"/>
        <v>No</v>
      </c>
      <c r="W430" s="2" t="str">
        <f t="shared" si="61"/>
        <v>Regular</v>
      </c>
      <c r="X430" s="2" t="str">
        <f t="shared" si="62"/>
        <v>Discounted Bulk</v>
      </c>
    </row>
    <row r="431" spans="1:24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47</v>
      </c>
      <c r="F431" s="2" t="s">
        <v>17</v>
      </c>
      <c r="G431" s="2" t="s">
        <v>25</v>
      </c>
      <c r="H431" s="2" t="s">
        <v>26</v>
      </c>
      <c r="I431" s="2" t="s">
        <v>27</v>
      </c>
      <c r="J431" s="2" t="s">
        <v>70</v>
      </c>
      <c r="K431" s="2" t="s">
        <v>34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54"/>
        <v>31292.560000000001</v>
      </c>
      <c r="Q431" s="2" t="str">
        <f t="shared" si="55"/>
        <v>Yes</v>
      </c>
      <c r="R431" s="2" t="str">
        <f t="shared" si="56"/>
        <v>Yes</v>
      </c>
      <c r="S431" s="2" t="str">
        <f t="shared" si="57"/>
        <v>Yes</v>
      </c>
      <c r="T431" s="2" t="str">
        <f t="shared" si="58"/>
        <v>Normal</v>
      </c>
      <c r="U431" s="2" t="str">
        <f t="shared" si="59"/>
        <v>Yes</v>
      </c>
      <c r="V431" s="2" t="str">
        <f t="shared" si="60"/>
        <v>Yes</v>
      </c>
      <c r="W431" s="2" t="str">
        <f t="shared" si="61"/>
        <v>Regular</v>
      </c>
      <c r="X431" s="2" t="str">
        <f t="shared" si="62"/>
        <v>Non Discounted Bulk</v>
      </c>
    </row>
    <row r="432" spans="1:24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47</v>
      </c>
      <c r="F432" s="2" t="s">
        <v>39</v>
      </c>
      <c r="G432" s="2" t="s">
        <v>31</v>
      </c>
      <c r="H432" s="2" t="s">
        <v>36</v>
      </c>
      <c r="I432" s="2" t="s">
        <v>50</v>
      </c>
      <c r="J432" s="2" t="s">
        <v>52</v>
      </c>
      <c r="K432" s="2" t="s">
        <v>29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54"/>
        <v>13484.22</v>
      </c>
      <c r="Q432" s="2" t="str">
        <f t="shared" si="55"/>
        <v>Yes</v>
      </c>
      <c r="R432" s="2" t="str">
        <f t="shared" si="56"/>
        <v>No</v>
      </c>
      <c r="S432" s="2" t="str">
        <f t="shared" si="57"/>
        <v>No</v>
      </c>
      <c r="T432" s="2" t="str">
        <f t="shared" si="58"/>
        <v>Normal</v>
      </c>
      <c r="U432" s="2" t="str">
        <f t="shared" si="59"/>
        <v>No</v>
      </c>
      <c r="V432" s="2" t="str">
        <f t="shared" si="60"/>
        <v>No</v>
      </c>
      <c r="W432" s="2" t="str">
        <f t="shared" si="61"/>
        <v>Regular</v>
      </c>
      <c r="X432" s="2" t="str">
        <f t="shared" si="62"/>
        <v>Discounted Bulk</v>
      </c>
    </row>
    <row r="433" spans="1:24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47</v>
      </c>
      <c r="F433" s="2" t="s">
        <v>42</v>
      </c>
      <c r="G433" s="2" t="s">
        <v>31</v>
      </c>
      <c r="H433" s="2" t="s">
        <v>19</v>
      </c>
      <c r="I433" s="2" t="s">
        <v>27</v>
      </c>
      <c r="J433" s="2" t="s">
        <v>62</v>
      </c>
      <c r="K433" s="2" t="s">
        <v>48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54"/>
        <v>6051.5999999999995</v>
      </c>
      <c r="Q433" s="2" t="str">
        <f t="shared" si="55"/>
        <v>No</v>
      </c>
      <c r="R433" s="2" t="str">
        <f t="shared" si="56"/>
        <v>Yes</v>
      </c>
      <c r="S433" s="2" t="str">
        <f t="shared" si="57"/>
        <v>No</v>
      </c>
      <c r="T433" s="2" t="str">
        <f t="shared" si="58"/>
        <v>Normal</v>
      </c>
      <c r="U433" s="2" t="str">
        <f t="shared" si="59"/>
        <v>No</v>
      </c>
      <c r="V433" s="2" t="str">
        <f t="shared" si="60"/>
        <v>No</v>
      </c>
      <c r="W433" s="2" t="str">
        <f t="shared" si="61"/>
        <v>Regular</v>
      </c>
      <c r="X433" s="2" t="str">
        <f t="shared" si="62"/>
        <v>Non Discounted Bulk</v>
      </c>
    </row>
    <row r="434" spans="1:24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16</v>
      </c>
      <c r="F434" s="2" t="s">
        <v>55</v>
      </c>
      <c r="G434" s="2" t="s">
        <v>18</v>
      </c>
      <c r="H434" s="2" t="s">
        <v>19</v>
      </c>
      <c r="I434" s="2" t="s">
        <v>50</v>
      </c>
      <c r="J434" s="2" t="s">
        <v>52</v>
      </c>
      <c r="K434" s="2" t="s">
        <v>34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54"/>
        <v>14362</v>
      </c>
      <c r="Q434" s="2" t="str">
        <f t="shared" si="55"/>
        <v>No</v>
      </c>
      <c r="R434" s="2" t="str">
        <f t="shared" si="56"/>
        <v>No</v>
      </c>
      <c r="S434" s="2" t="str">
        <f t="shared" si="57"/>
        <v>Yes</v>
      </c>
      <c r="T434" s="2" t="str">
        <f t="shared" si="58"/>
        <v>Normal</v>
      </c>
      <c r="U434" s="2" t="str">
        <f t="shared" si="59"/>
        <v>No</v>
      </c>
      <c r="V434" s="2" t="str">
        <f t="shared" si="60"/>
        <v>No</v>
      </c>
      <c r="W434" s="2" t="str">
        <f t="shared" si="61"/>
        <v>Regular</v>
      </c>
      <c r="X434" s="2" t="str">
        <f t="shared" si="62"/>
        <v>Discounted Bulk</v>
      </c>
    </row>
    <row r="435" spans="1:24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47</v>
      </c>
      <c r="F435" s="2" t="s">
        <v>55</v>
      </c>
      <c r="G435" s="2" t="s">
        <v>25</v>
      </c>
      <c r="H435" s="2" t="s">
        <v>26</v>
      </c>
      <c r="I435" s="2" t="s">
        <v>20</v>
      </c>
      <c r="J435" s="2" t="s">
        <v>21</v>
      </c>
      <c r="K435" s="2" t="s">
        <v>46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54"/>
        <v>3498.88</v>
      </c>
      <c r="Q435" s="2" t="str">
        <f t="shared" si="55"/>
        <v>No</v>
      </c>
      <c r="R435" s="2" t="str">
        <f t="shared" si="56"/>
        <v>Yes</v>
      </c>
      <c r="S435" s="2" t="str">
        <f t="shared" si="57"/>
        <v>Yes</v>
      </c>
      <c r="T435" s="2" t="str">
        <f t="shared" si="58"/>
        <v>Normal</v>
      </c>
      <c r="U435" s="2" t="str">
        <f t="shared" si="59"/>
        <v>Yes</v>
      </c>
      <c r="V435" s="2" t="str">
        <f t="shared" si="60"/>
        <v>Yes</v>
      </c>
      <c r="W435" s="2" t="str">
        <f t="shared" si="61"/>
        <v>Regular</v>
      </c>
      <c r="X435" s="2" t="str">
        <f t="shared" si="62"/>
        <v>Non Discounted Bulk</v>
      </c>
    </row>
    <row r="436" spans="1:24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16</v>
      </c>
      <c r="F436" s="2" t="s">
        <v>30</v>
      </c>
      <c r="G436" s="2" t="s">
        <v>25</v>
      </c>
      <c r="H436" s="2" t="s">
        <v>45</v>
      </c>
      <c r="I436" s="2" t="s">
        <v>53</v>
      </c>
      <c r="J436" s="2" t="s">
        <v>57</v>
      </c>
      <c r="K436" s="2" t="s">
        <v>22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54"/>
        <v>10934.34</v>
      </c>
      <c r="Q436" s="2" t="str">
        <f t="shared" si="55"/>
        <v>No</v>
      </c>
      <c r="R436" s="2" t="str">
        <f t="shared" si="56"/>
        <v>No</v>
      </c>
      <c r="S436" s="2" t="str">
        <f t="shared" si="57"/>
        <v>Yes</v>
      </c>
      <c r="T436" s="2" t="str">
        <f t="shared" si="58"/>
        <v>Normal</v>
      </c>
      <c r="U436" s="2" t="str">
        <f t="shared" si="59"/>
        <v>Yes</v>
      </c>
      <c r="V436" s="2" t="str">
        <f t="shared" si="60"/>
        <v>Yes</v>
      </c>
      <c r="W436" s="2" t="str">
        <f t="shared" si="61"/>
        <v>Regular</v>
      </c>
      <c r="X436" s="2" t="str">
        <f t="shared" si="62"/>
        <v>Discounted Bulk</v>
      </c>
    </row>
    <row r="437" spans="1:24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16</v>
      </c>
      <c r="F437" s="2" t="s">
        <v>24</v>
      </c>
      <c r="G437" s="2" t="s">
        <v>31</v>
      </c>
      <c r="H437" s="2" t="s">
        <v>19</v>
      </c>
      <c r="I437" s="2" t="s">
        <v>53</v>
      </c>
      <c r="J437" s="2" t="s">
        <v>61</v>
      </c>
      <c r="K437" s="2" t="s">
        <v>22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54"/>
        <v>11960.34</v>
      </c>
      <c r="Q437" s="2" t="str">
        <f t="shared" si="55"/>
        <v>No</v>
      </c>
      <c r="R437" s="2" t="str">
        <f t="shared" si="56"/>
        <v>No</v>
      </c>
      <c r="S437" s="2" t="str">
        <f t="shared" si="57"/>
        <v>No</v>
      </c>
      <c r="T437" s="2" t="str">
        <f t="shared" si="58"/>
        <v>Normal</v>
      </c>
      <c r="U437" s="2" t="str">
        <f t="shared" si="59"/>
        <v>No</v>
      </c>
      <c r="V437" s="2" t="str">
        <f t="shared" si="60"/>
        <v>No</v>
      </c>
      <c r="W437" s="2" t="str">
        <f t="shared" si="61"/>
        <v>Regular</v>
      </c>
      <c r="X437" s="2" t="str">
        <f t="shared" si="62"/>
        <v>Discounted Bulk</v>
      </c>
    </row>
    <row r="438" spans="1:24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23</v>
      </c>
      <c r="F438" s="2" t="s">
        <v>39</v>
      </c>
      <c r="G438" s="2" t="s">
        <v>31</v>
      </c>
      <c r="H438" s="2" t="s">
        <v>36</v>
      </c>
      <c r="I438" s="2" t="s">
        <v>58</v>
      </c>
      <c r="J438" s="2" t="s">
        <v>63</v>
      </c>
      <c r="K438" s="2" t="s">
        <v>22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54"/>
        <v>22773.279999999999</v>
      </c>
      <c r="Q438" s="2" t="str">
        <f t="shared" si="55"/>
        <v>Yes</v>
      </c>
      <c r="R438" s="2" t="str">
        <f t="shared" si="56"/>
        <v>Yes</v>
      </c>
      <c r="S438" s="2" t="str">
        <f t="shared" si="57"/>
        <v>No</v>
      </c>
      <c r="T438" s="2" t="str">
        <f t="shared" si="58"/>
        <v>Normal</v>
      </c>
      <c r="U438" s="2" t="str">
        <f t="shared" si="59"/>
        <v>No</v>
      </c>
      <c r="V438" s="2" t="str">
        <f t="shared" si="60"/>
        <v>No</v>
      </c>
      <c r="W438" s="2" t="str">
        <f t="shared" si="61"/>
        <v>Regular</v>
      </c>
      <c r="X438" s="2" t="str">
        <f t="shared" si="62"/>
        <v>Non Discounted Bulk</v>
      </c>
    </row>
    <row r="439" spans="1:24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47</v>
      </c>
      <c r="F439" s="2" t="s">
        <v>24</v>
      </c>
      <c r="G439" s="2" t="s">
        <v>31</v>
      </c>
      <c r="H439" s="2" t="s">
        <v>19</v>
      </c>
      <c r="I439" s="2" t="s">
        <v>27</v>
      </c>
      <c r="J439" s="2" t="s">
        <v>62</v>
      </c>
      <c r="K439" s="2" t="s">
        <v>48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54"/>
        <v>15581.099999999999</v>
      </c>
      <c r="Q439" s="2" t="str">
        <f t="shared" si="55"/>
        <v>Yes</v>
      </c>
      <c r="R439" s="2" t="str">
        <f t="shared" si="56"/>
        <v>No</v>
      </c>
      <c r="S439" s="2" t="str">
        <f t="shared" si="57"/>
        <v>No</v>
      </c>
      <c r="T439" s="2" t="str">
        <f t="shared" si="58"/>
        <v>Normal</v>
      </c>
      <c r="U439" s="2" t="str">
        <f t="shared" si="59"/>
        <v>No</v>
      </c>
      <c r="V439" s="2" t="str">
        <f t="shared" si="60"/>
        <v>No</v>
      </c>
      <c r="W439" s="2" t="str">
        <f t="shared" si="61"/>
        <v>Regular</v>
      </c>
      <c r="X439" s="2" t="str">
        <f t="shared" si="62"/>
        <v>Discounted Bulk</v>
      </c>
    </row>
    <row r="440" spans="1:24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35</v>
      </c>
      <c r="F440" s="2" t="s">
        <v>30</v>
      </c>
      <c r="G440" s="2" t="s">
        <v>25</v>
      </c>
      <c r="H440" s="2" t="s">
        <v>36</v>
      </c>
      <c r="I440" s="2" t="s">
        <v>50</v>
      </c>
      <c r="J440" s="2" t="s">
        <v>52</v>
      </c>
      <c r="K440" s="2" t="s">
        <v>29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54"/>
        <v>4345.8599999999997</v>
      </c>
      <c r="Q440" s="2" t="str">
        <f t="shared" si="55"/>
        <v>No</v>
      </c>
      <c r="R440" s="2" t="str">
        <f t="shared" si="56"/>
        <v>No</v>
      </c>
      <c r="S440" s="2" t="str">
        <f t="shared" si="57"/>
        <v>Yes</v>
      </c>
      <c r="T440" s="2" t="str">
        <f t="shared" si="58"/>
        <v>Normal</v>
      </c>
      <c r="U440" s="2" t="str">
        <f t="shared" si="59"/>
        <v>Yes</v>
      </c>
      <c r="V440" s="2" t="str">
        <f t="shared" si="60"/>
        <v>Yes</v>
      </c>
      <c r="W440" s="2" t="str">
        <f t="shared" si="61"/>
        <v>Regular</v>
      </c>
      <c r="X440" s="2" t="str">
        <f t="shared" si="62"/>
        <v>Discounted Bulk</v>
      </c>
    </row>
    <row r="441" spans="1:24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38</v>
      </c>
      <c r="F441" s="2" t="s">
        <v>55</v>
      </c>
      <c r="G441" s="2" t="s">
        <v>18</v>
      </c>
      <c r="H441" s="2" t="s">
        <v>43</v>
      </c>
      <c r="I441" s="2" t="s">
        <v>50</v>
      </c>
      <c r="J441" s="2" t="s">
        <v>51</v>
      </c>
      <c r="K441" s="2" t="s">
        <v>34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54"/>
        <v>3775.07</v>
      </c>
      <c r="Q441" s="2" t="str">
        <f t="shared" si="55"/>
        <v>No</v>
      </c>
      <c r="R441" s="2" t="str">
        <f t="shared" si="56"/>
        <v>No</v>
      </c>
      <c r="S441" s="2" t="str">
        <f t="shared" si="57"/>
        <v>Yes</v>
      </c>
      <c r="T441" s="2" t="str">
        <f t="shared" si="58"/>
        <v>Normal</v>
      </c>
      <c r="U441" s="2" t="str">
        <f t="shared" si="59"/>
        <v>No</v>
      </c>
      <c r="V441" s="2" t="str">
        <f t="shared" si="60"/>
        <v>No</v>
      </c>
      <c r="W441" s="2" t="str">
        <f t="shared" si="61"/>
        <v>Regular</v>
      </c>
      <c r="X441" s="2" t="str">
        <f t="shared" si="62"/>
        <v>Discounted Bulk</v>
      </c>
    </row>
    <row r="442" spans="1:24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17</v>
      </c>
      <c r="F442" s="2" t="s">
        <v>24</v>
      </c>
      <c r="G442" s="2" t="s">
        <v>18</v>
      </c>
      <c r="H442" s="2" t="s">
        <v>43</v>
      </c>
      <c r="I442" s="2" t="s">
        <v>32</v>
      </c>
      <c r="J442" s="2" t="s">
        <v>66</v>
      </c>
      <c r="K442" s="2" t="s">
        <v>46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54"/>
        <v>6568.2000000000007</v>
      </c>
      <c r="Q442" s="2" t="str">
        <f t="shared" si="55"/>
        <v>No</v>
      </c>
      <c r="R442" s="2" t="str">
        <f t="shared" si="56"/>
        <v>No</v>
      </c>
      <c r="S442" s="2" t="str">
        <f t="shared" si="57"/>
        <v>Yes</v>
      </c>
      <c r="T442" s="2" t="str">
        <f t="shared" si="58"/>
        <v>Normal</v>
      </c>
      <c r="U442" s="2" t="str">
        <f t="shared" si="59"/>
        <v>No</v>
      </c>
      <c r="V442" s="2" t="str">
        <f t="shared" si="60"/>
        <v>No</v>
      </c>
      <c r="W442" s="2" t="str">
        <f t="shared" si="61"/>
        <v>Regular</v>
      </c>
      <c r="X442" s="2" t="str">
        <f t="shared" si="62"/>
        <v>Discounted Bulk</v>
      </c>
    </row>
    <row r="443" spans="1:24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16</v>
      </c>
      <c r="F443" s="2" t="s">
        <v>24</v>
      </c>
      <c r="G443" s="2" t="s">
        <v>25</v>
      </c>
      <c r="H443" s="2" t="s">
        <v>36</v>
      </c>
      <c r="I443" s="2" t="s">
        <v>58</v>
      </c>
      <c r="J443" s="2" t="s">
        <v>59</v>
      </c>
      <c r="K443" s="2" t="s">
        <v>46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54"/>
        <v>26727.3</v>
      </c>
      <c r="Q443" s="2" t="str">
        <f t="shared" si="55"/>
        <v>Yes</v>
      </c>
      <c r="R443" s="2" t="str">
        <f t="shared" si="56"/>
        <v>Yes</v>
      </c>
      <c r="S443" s="2" t="str">
        <f t="shared" si="57"/>
        <v>Yes</v>
      </c>
      <c r="T443" s="2" t="str">
        <f t="shared" si="58"/>
        <v>Normal</v>
      </c>
      <c r="U443" s="2" t="str">
        <f t="shared" si="59"/>
        <v>Yes</v>
      </c>
      <c r="V443" s="2" t="str">
        <f t="shared" si="60"/>
        <v>Yes</v>
      </c>
      <c r="W443" s="2" t="str">
        <f t="shared" si="61"/>
        <v>Regular</v>
      </c>
      <c r="X443" s="2" t="str">
        <f t="shared" si="62"/>
        <v>Non Discounted Bulk</v>
      </c>
    </row>
    <row r="444" spans="1:24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41</v>
      </c>
      <c r="F444" s="2" t="s">
        <v>55</v>
      </c>
      <c r="G444" s="2" t="s">
        <v>18</v>
      </c>
      <c r="H444" s="2" t="s">
        <v>45</v>
      </c>
      <c r="I444" s="2" t="s">
        <v>32</v>
      </c>
      <c r="J444" s="2" t="s">
        <v>66</v>
      </c>
      <c r="K444" s="2" t="s">
        <v>48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54"/>
        <v>18539.05</v>
      </c>
      <c r="Q444" s="2" t="str">
        <f t="shared" si="55"/>
        <v>Yes</v>
      </c>
      <c r="R444" s="2" t="str">
        <f t="shared" si="56"/>
        <v>No</v>
      </c>
      <c r="S444" s="2" t="str">
        <f t="shared" si="57"/>
        <v>Yes</v>
      </c>
      <c r="T444" s="2" t="str">
        <f t="shared" si="58"/>
        <v>Normal</v>
      </c>
      <c r="U444" s="2" t="str">
        <f t="shared" si="59"/>
        <v>No</v>
      </c>
      <c r="V444" s="2" t="str">
        <f t="shared" si="60"/>
        <v>No</v>
      </c>
      <c r="W444" s="2" t="str">
        <f t="shared" si="61"/>
        <v>Regular</v>
      </c>
      <c r="X444" s="2" t="str">
        <f t="shared" si="62"/>
        <v>Discounted Bulk</v>
      </c>
    </row>
    <row r="445" spans="1:24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41</v>
      </c>
      <c r="F445" s="2" t="s">
        <v>39</v>
      </c>
      <c r="G445" s="2" t="s">
        <v>31</v>
      </c>
      <c r="H445" s="2" t="s">
        <v>19</v>
      </c>
      <c r="I445" s="2" t="s">
        <v>32</v>
      </c>
      <c r="J445" s="2" t="s">
        <v>33</v>
      </c>
      <c r="K445" s="2" t="s">
        <v>22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54"/>
        <v>7808.88</v>
      </c>
      <c r="Q445" s="2" t="str">
        <f t="shared" si="55"/>
        <v>No</v>
      </c>
      <c r="R445" s="2" t="str">
        <f t="shared" si="56"/>
        <v>No</v>
      </c>
      <c r="S445" s="2" t="str">
        <f t="shared" si="57"/>
        <v>No</v>
      </c>
      <c r="T445" s="2" t="str">
        <f t="shared" si="58"/>
        <v>Normal</v>
      </c>
      <c r="U445" s="2" t="str">
        <f t="shared" si="59"/>
        <v>No</v>
      </c>
      <c r="V445" s="2" t="str">
        <f t="shared" si="60"/>
        <v>No</v>
      </c>
      <c r="W445" s="2" t="str">
        <f t="shared" si="61"/>
        <v>Regular</v>
      </c>
      <c r="X445" s="2" t="str">
        <f t="shared" si="62"/>
        <v>Discounted Bulk</v>
      </c>
    </row>
    <row r="446" spans="1:24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38</v>
      </c>
      <c r="F446" s="2" t="s">
        <v>55</v>
      </c>
      <c r="G446" s="2" t="s">
        <v>18</v>
      </c>
      <c r="H446" s="2" t="s">
        <v>19</v>
      </c>
      <c r="I446" s="2" t="s">
        <v>32</v>
      </c>
      <c r="J446" s="2" t="s">
        <v>49</v>
      </c>
      <c r="K446" s="2" t="s">
        <v>48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54"/>
        <v>23504.880000000001</v>
      </c>
      <c r="Q446" s="2" t="str">
        <f t="shared" si="55"/>
        <v>Yes</v>
      </c>
      <c r="R446" s="2" t="str">
        <f t="shared" si="56"/>
        <v>No</v>
      </c>
      <c r="S446" s="2" t="str">
        <f t="shared" si="57"/>
        <v>Yes</v>
      </c>
      <c r="T446" s="2" t="str">
        <f t="shared" si="58"/>
        <v>Normal</v>
      </c>
      <c r="U446" s="2" t="str">
        <f t="shared" si="59"/>
        <v>No</v>
      </c>
      <c r="V446" s="2" t="str">
        <f t="shared" si="60"/>
        <v>No</v>
      </c>
      <c r="W446" s="2" t="str">
        <f t="shared" si="61"/>
        <v>Regular</v>
      </c>
      <c r="X446" s="2" t="str">
        <f t="shared" si="62"/>
        <v>Discounted Bulk</v>
      </c>
    </row>
    <row r="447" spans="1:24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41</v>
      </c>
      <c r="F447" s="2" t="s">
        <v>24</v>
      </c>
      <c r="G447" s="2" t="s">
        <v>18</v>
      </c>
      <c r="H447" s="2" t="s">
        <v>43</v>
      </c>
      <c r="I447" s="2" t="s">
        <v>27</v>
      </c>
      <c r="J447" s="2" t="s">
        <v>28</v>
      </c>
      <c r="K447" s="2" t="s">
        <v>29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54"/>
        <v>2633.24</v>
      </c>
      <c r="Q447" s="2" t="str">
        <f t="shared" si="55"/>
        <v>No</v>
      </c>
      <c r="R447" s="2" t="str">
        <f t="shared" si="56"/>
        <v>No</v>
      </c>
      <c r="S447" s="2" t="str">
        <f t="shared" si="57"/>
        <v>Yes</v>
      </c>
      <c r="T447" s="2" t="str">
        <f t="shared" si="58"/>
        <v>Normal</v>
      </c>
      <c r="U447" s="2" t="str">
        <f t="shared" si="59"/>
        <v>No</v>
      </c>
      <c r="V447" s="2" t="str">
        <f t="shared" si="60"/>
        <v>No</v>
      </c>
      <c r="W447" s="2" t="str">
        <f t="shared" si="61"/>
        <v>Regular</v>
      </c>
      <c r="X447" s="2" t="str">
        <f t="shared" si="62"/>
        <v>Discounted Bulk</v>
      </c>
    </row>
    <row r="448" spans="1:24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35</v>
      </c>
      <c r="F448" s="2" t="s">
        <v>39</v>
      </c>
      <c r="G448" s="2" t="s">
        <v>18</v>
      </c>
      <c r="H448" s="2" t="s">
        <v>36</v>
      </c>
      <c r="I448" s="2" t="s">
        <v>27</v>
      </c>
      <c r="J448" s="2" t="s">
        <v>70</v>
      </c>
      <c r="K448" s="2" t="s">
        <v>29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54"/>
        <v>15484.84</v>
      </c>
      <c r="Q448" s="2" t="str">
        <f t="shared" si="55"/>
        <v>No</v>
      </c>
      <c r="R448" s="2" t="str">
        <f t="shared" si="56"/>
        <v>No</v>
      </c>
      <c r="S448" s="2" t="str">
        <f t="shared" si="57"/>
        <v>Yes</v>
      </c>
      <c r="T448" s="2" t="str">
        <f t="shared" si="58"/>
        <v>Normal</v>
      </c>
      <c r="U448" s="2" t="str">
        <f t="shared" si="59"/>
        <v>No</v>
      </c>
      <c r="V448" s="2" t="str">
        <f t="shared" si="60"/>
        <v>No</v>
      </c>
      <c r="W448" s="2" t="str">
        <f t="shared" si="61"/>
        <v>Regular</v>
      </c>
      <c r="X448" s="2" t="str">
        <f t="shared" si="62"/>
        <v>Discounted Bulk</v>
      </c>
    </row>
    <row r="449" spans="1:24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41</v>
      </c>
      <c r="F449" s="2" t="s">
        <v>39</v>
      </c>
      <c r="G449" s="2" t="s">
        <v>31</v>
      </c>
      <c r="H449" s="2" t="s">
        <v>19</v>
      </c>
      <c r="I449" s="2" t="s">
        <v>20</v>
      </c>
      <c r="J449" s="2" t="s">
        <v>21</v>
      </c>
      <c r="K449" s="2" t="s">
        <v>34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54"/>
        <v>17977.82</v>
      </c>
      <c r="Q449" s="2" t="str">
        <f t="shared" si="55"/>
        <v>Yes</v>
      </c>
      <c r="R449" s="2" t="str">
        <f t="shared" si="56"/>
        <v>No</v>
      </c>
      <c r="S449" s="2" t="str">
        <f t="shared" si="57"/>
        <v>No</v>
      </c>
      <c r="T449" s="2" t="str">
        <f t="shared" si="58"/>
        <v>Normal</v>
      </c>
      <c r="U449" s="2" t="str">
        <f t="shared" si="59"/>
        <v>No</v>
      </c>
      <c r="V449" s="2" t="str">
        <f t="shared" si="60"/>
        <v>No</v>
      </c>
      <c r="W449" s="2" t="str">
        <f t="shared" si="61"/>
        <v>Regular</v>
      </c>
      <c r="X449" s="2" t="str">
        <f t="shared" si="62"/>
        <v>Discounted Bulk</v>
      </c>
    </row>
    <row r="450" spans="1:24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17</v>
      </c>
      <c r="F450" s="2" t="s">
        <v>55</v>
      </c>
      <c r="G450" s="2" t="s">
        <v>25</v>
      </c>
      <c r="H450" s="2" t="s">
        <v>19</v>
      </c>
      <c r="I450" s="2" t="s">
        <v>20</v>
      </c>
      <c r="J450" s="2" t="s">
        <v>67</v>
      </c>
      <c r="K450" s="2" t="s">
        <v>34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54"/>
        <v>14931.88</v>
      </c>
      <c r="Q450" s="2" t="str">
        <f t="shared" si="55"/>
        <v>No</v>
      </c>
      <c r="R450" s="2" t="str">
        <f t="shared" si="56"/>
        <v>No</v>
      </c>
      <c r="S450" s="2" t="str">
        <f t="shared" si="57"/>
        <v>Yes</v>
      </c>
      <c r="T450" s="2" t="str">
        <f t="shared" si="58"/>
        <v>Normal</v>
      </c>
      <c r="U450" s="2" t="str">
        <f t="shared" si="59"/>
        <v>Yes</v>
      </c>
      <c r="V450" s="2" t="str">
        <f t="shared" si="60"/>
        <v>Yes</v>
      </c>
      <c r="W450" s="2" t="str">
        <f t="shared" si="61"/>
        <v>Regular</v>
      </c>
      <c r="X450" s="2" t="str">
        <f t="shared" si="62"/>
        <v>Discounted Bulk</v>
      </c>
    </row>
    <row r="451" spans="1:24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17</v>
      </c>
      <c r="F451" s="2" t="s">
        <v>24</v>
      </c>
      <c r="G451" s="2" t="s">
        <v>31</v>
      </c>
      <c r="H451" s="2" t="s">
        <v>45</v>
      </c>
      <c r="I451" s="2" t="s">
        <v>32</v>
      </c>
      <c r="J451" s="2" t="s">
        <v>33</v>
      </c>
      <c r="K451" s="2" t="s">
        <v>29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63">L451*M451</f>
        <v>19271</v>
      </c>
      <c r="Q451" s="2" t="str">
        <f t="shared" ref="Q451:Q501" si="64">IF(AND(L451&gt;=5,O451&gt;=10000),"Yes","No")</f>
        <v>Yes</v>
      </c>
      <c r="R451" s="2" t="str">
        <f t="shared" ref="R451:R501" si="65">IF(AND(L451&gt;=8,N451&gt;=10),"Yes","No")</f>
        <v>No</v>
      </c>
      <c r="S451" s="2" t="str">
        <f t="shared" ref="S451:S501" si="66">IF(OR(G451="Website",G451="Mobile App"),"Yes","No")</f>
        <v>No</v>
      </c>
      <c r="T451" s="2" t="str">
        <f t="shared" ref="T451:T501" si="67">IF(AND(L451&lt;3,O451&lt;=1000),"Special Attention","Normal")</f>
        <v>Normal</v>
      </c>
      <c r="U451" s="2" t="str">
        <f t="shared" ref="U451:U501" si="68">IF(NOT(G451="Website"),"No","Yes")</f>
        <v>No</v>
      </c>
      <c r="V451" s="2" t="str">
        <f t="shared" ref="V451:V501" si="69">IF((G451&lt;&gt;"Website"), "No","Yes")</f>
        <v>No</v>
      </c>
      <c r="W451" s="2" t="str">
        <f t="shared" ref="W451:W501" si="70">IF(AND(O451&gt;15000,OR(I451="Electronics",I451="Beauty")),"Premium","Regular")</f>
        <v>Regular</v>
      </c>
      <c r="X451" s="2" t="str">
        <f t="shared" ref="X451:X501" si="71">IF(AND(L451&gt;=8,NOT(N451=0)),"Non Discounted Bulk","Discounted Bulk")</f>
        <v>Discounted Bulk</v>
      </c>
    </row>
    <row r="452" spans="1:24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16</v>
      </c>
      <c r="F452" s="2" t="s">
        <v>30</v>
      </c>
      <c r="G452" s="2" t="s">
        <v>25</v>
      </c>
      <c r="H452" s="2" t="s">
        <v>26</v>
      </c>
      <c r="I452" s="2" t="s">
        <v>58</v>
      </c>
      <c r="J452" s="2" t="s">
        <v>60</v>
      </c>
      <c r="K452" s="2" t="s">
        <v>29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63"/>
        <v>9330.09</v>
      </c>
      <c r="Q452" s="2" t="str">
        <f t="shared" si="64"/>
        <v>No</v>
      </c>
      <c r="R452" s="2" t="str">
        <f t="shared" si="65"/>
        <v>No</v>
      </c>
      <c r="S452" s="2" t="str">
        <f t="shared" si="66"/>
        <v>Yes</v>
      </c>
      <c r="T452" s="2" t="str">
        <f t="shared" si="67"/>
        <v>Normal</v>
      </c>
      <c r="U452" s="2" t="str">
        <f t="shared" si="68"/>
        <v>Yes</v>
      </c>
      <c r="V452" s="2" t="str">
        <f t="shared" si="69"/>
        <v>Yes</v>
      </c>
      <c r="W452" s="2" t="str">
        <f t="shared" si="70"/>
        <v>Regular</v>
      </c>
      <c r="X452" s="2" t="str">
        <f t="shared" si="71"/>
        <v>Discounted Bulk</v>
      </c>
    </row>
    <row r="453" spans="1:24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47</v>
      </c>
      <c r="F453" s="2" t="s">
        <v>24</v>
      </c>
      <c r="G453" s="2" t="s">
        <v>25</v>
      </c>
      <c r="H453" s="2" t="s">
        <v>43</v>
      </c>
      <c r="I453" s="2" t="s">
        <v>50</v>
      </c>
      <c r="J453" s="2" t="s">
        <v>69</v>
      </c>
      <c r="K453" s="2" t="s">
        <v>29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63"/>
        <v>1574.59</v>
      </c>
      <c r="Q453" s="2" t="str">
        <f t="shared" si="64"/>
        <v>No</v>
      </c>
      <c r="R453" s="2" t="str">
        <f t="shared" si="65"/>
        <v>No</v>
      </c>
      <c r="S453" s="2" t="str">
        <f t="shared" si="66"/>
        <v>Yes</v>
      </c>
      <c r="T453" s="2" t="str">
        <f t="shared" si="67"/>
        <v>Normal</v>
      </c>
      <c r="U453" s="2" t="str">
        <f t="shared" si="68"/>
        <v>Yes</v>
      </c>
      <c r="V453" s="2" t="str">
        <f t="shared" si="69"/>
        <v>Yes</v>
      </c>
      <c r="W453" s="2" t="str">
        <f t="shared" si="70"/>
        <v>Regular</v>
      </c>
      <c r="X453" s="2" t="str">
        <f t="shared" si="71"/>
        <v>Discounted Bulk</v>
      </c>
    </row>
    <row r="454" spans="1:24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23</v>
      </c>
      <c r="F454" s="2" t="s">
        <v>17</v>
      </c>
      <c r="G454" s="2" t="s">
        <v>25</v>
      </c>
      <c r="H454" s="2" t="s">
        <v>43</v>
      </c>
      <c r="I454" s="2" t="s">
        <v>27</v>
      </c>
      <c r="J454" s="2" t="s">
        <v>28</v>
      </c>
      <c r="K454" s="2" t="s">
        <v>48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63"/>
        <v>13615.920000000002</v>
      </c>
      <c r="Q454" s="2" t="str">
        <f t="shared" si="64"/>
        <v>Yes</v>
      </c>
      <c r="R454" s="2" t="str">
        <f t="shared" si="65"/>
        <v>No</v>
      </c>
      <c r="S454" s="2" t="str">
        <f t="shared" si="66"/>
        <v>Yes</v>
      </c>
      <c r="T454" s="2" t="str">
        <f t="shared" si="67"/>
        <v>Normal</v>
      </c>
      <c r="U454" s="2" t="str">
        <f t="shared" si="68"/>
        <v>Yes</v>
      </c>
      <c r="V454" s="2" t="str">
        <f t="shared" si="69"/>
        <v>Yes</v>
      </c>
      <c r="W454" s="2" t="str">
        <f t="shared" si="70"/>
        <v>Regular</v>
      </c>
      <c r="X454" s="2" t="str">
        <f t="shared" si="71"/>
        <v>Discounted Bulk</v>
      </c>
    </row>
    <row r="455" spans="1:24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35</v>
      </c>
      <c r="F455" s="2" t="s">
        <v>42</v>
      </c>
      <c r="G455" s="2" t="s">
        <v>18</v>
      </c>
      <c r="H455" s="2" t="s">
        <v>26</v>
      </c>
      <c r="I455" s="2" t="s">
        <v>58</v>
      </c>
      <c r="J455" s="2" t="s">
        <v>59</v>
      </c>
      <c r="K455" s="2" t="s">
        <v>29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63"/>
        <v>28724.04</v>
      </c>
      <c r="Q455" s="2" t="str">
        <f t="shared" si="64"/>
        <v>Yes</v>
      </c>
      <c r="R455" s="2" t="str">
        <f t="shared" si="65"/>
        <v>Yes</v>
      </c>
      <c r="S455" s="2" t="str">
        <f t="shared" si="66"/>
        <v>Yes</v>
      </c>
      <c r="T455" s="2" t="str">
        <f t="shared" si="67"/>
        <v>Normal</v>
      </c>
      <c r="U455" s="2" t="str">
        <f t="shared" si="68"/>
        <v>No</v>
      </c>
      <c r="V455" s="2" t="str">
        <f t="shared" si="69"/>
        <v>No</v>
      </c>
      <c r="W455" s="2" t="str">
        <f t="shared" si="70"/>
        <v>Regular</v>
      </c>
      <c r="X455" s="2" t="str">
        <f t="shared" si="71"/>
        <v>Non Discounted Bulk</v>
      </c>
    </row>
    <row r="456" spans="1:24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16</v>
      </c>
      <c r="F456" s="2" t="s">
        <v>30</v>
      </c>
      <c r="G456" s="2" t="s">
        <v>18</v>
      </c>
      <c r="H456" s="2" t="s">
        <v>19</v>
      </c>
      <c r="I456" s="2" t="s">
        <v>53</v>
      </c>
      <c r="J456" s="2" t="s">
        <v>65</v>
      </c>
      <c r="K456" s="2" t="s">
        <v>46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63"/>
        <v>2748.46</v>
      </c>
      <c r="Q456" s="2" t="str">
        <f t="shared" si="64"/>
        <v>No</v>
      </c>
      <c r="R456" s="2" t="str">
        <f t="shared" si="65"/>
        <v>No</v>
      </c>
      <c r="S456" s="2" t="str">
        <f t="shared" si="66"/>
        <v>Yes</v>
      </c>
      <c r="T456" s="2" t="str">
        <f t="shared" si="67"/>
        <v>Normal</v>
      </c>
      <c r="U456" s="2" t="str">
        <f t="shared" si="68"/>
        <v>No</v>
      </c>
      <c r="V456" s="2" t="str">
        <f t="shared" si="69"/>
        <v>No</v>
      </c>
      <c r="W456" s="2" t="str">
        <f t="shared" si="70"/>
        <v>Regular</v>
      </c>
      <c r="X456" s="2" t="str">
        <f t="shared" si="71"/>
        <v>Discounted Bulk</v>
      </c>
    </row>
    <row r="457" spans="1:24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35</v>
      </c>
      <c r="F457" s="2" t="s">
        <v>39</v>
      </c>
      <c r="G457" s="2" t="s">
        <v>25</v>
      </c>
      <c r="H457" s="2" t="s">
        <v>45</v>
      </c>
      <c r="I457" s="2" t="s">
        <v>27</v>
      </c>
      <c r="J457" s="2" t="s">
        <v>28</v>
      </c>
      <c r="K457" s="2" t="s">
        <v>22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63"/>
        <v>7145.88</v>
      </c>
      <c r="Q457" s="2" t="str">
        <f t="shared" si="64"/>
        <v>No</v>
      </c>
      <c r="R457" s="2" t="str">
        <f t="shared" si="65"/>
        <v>No</v>
      </c>
      <c r="S457" s="2" t="str">
        <f t="shared" si="66"/>
        <v>Yes</v>
      </c>
      <c r="T457" s="2" t="str">
        <f t="shared" si="67"/>
        <v>Normal</v>
      </c>
      <c r="U457" s="2" t="str">
        <f t="shared" si="68"/>
        <v>Yes</v>
      </c>
      <c r="V457" s="2" t="str">
        <f t="shared" si="69"/>
        <v>Yes</v>
      </c>
      <c r="W457" s="2" t="str">
        <f t="shared" si="70"/>
        <v>Regular</v>
      </c>
      <c r="X457" s="2" t="str">
        <f t="shared" si="71"/>
        <v>Discounted Bulk</v>
      </c>
    </row>
    <row r="458" spans="1:24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47</v>
      </c>
      <c r="F458" s="2" t="s">
        <v>30</v>
      </c>
      <c r="G458" s="2" t="s">
        <v>25</v>
      </c>
      <c r="H458" s="2" t="s">
        <v>45</v>
      </c>
      <c r="I458" s="2" t="s">
        <v>27</v>
      </c>
      <c r="J458" s="2" t="s">
        <v>28</v>
      </c>
      <c r="K458" s="2" t="s">
        <v>29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63"/>
        <v>7403.3</v>
      </c>
      <c r="Q458" s="2" t="str">
        <f t="shared" si="64"/>
        <v>No</v>
      </c>
      <c r="R458" s="2" t="str">
        <f t="shared" si="65"/>
        <v>No</v>
      </c>
      <c r="S458" s="2" t="str">
        <f t="shared" si="66"/>
        <v>Yes</v>
      </c>
      <c r="T458" s="2" t="str">
        <f t="shared" si="67"/>
        <v>Normal</v>
      </c>
      <c r="U458" s="2" t="str">
        <f t="shared" si="68"/>
        <v>Yes</v>
      </c>
      <c r="V458" s="2" t="str">
        <f t="shared" si="69"/>
        <v>Yes</v>
      </c>
      <c r="W458" s="2" t="str">
        <f t="shared" si="70"/>
        <v>Regular</v>
      </c>
      <c r="X458" s="2" t="str">
        <f t="shared" si="71"/>
        <v>Discounted Bulk</v>
      </c>
    </row>
    <row r="459" spans="1:24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41</v>
      </c>
      <c r="F459" s="2" t="s">
        <v>39</v>
      </c>
      <c r="G459" s="2" t="s">
        <v>18</v>
      </c>
      <c r="H459" s="2" t="s">
        <v>43</v>
      </c>
      <c r="I459" s="2" t="s">
        <v>20</v>
      </c>
      <c r="J459" s="2" t="s">
        <v>56</v>
      </c>
      <c r="K459" s="2" t="s">
        <v>22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63"/>
        <v>29616.39</v>
      </c>
      <c r="Q459" s="2" t="str">
        <f t="shared" si="64"/>
        <v>Yes</v>
      </c>
      <c r="R459" s="2" t="str">
        <f t="shared" si="65"/>
        <v>Yes</v>
      </c>
      <c r="S459" s="2" t="str">
        <f t="shared" si="66"/>
        <v>Yes</v>
      </c>
      <c r="T459" s="2" t="str">
        <f t="shared" si="67"/>
        <v>Normal</v>
      </c>
      <c r="U459" s="2" t="str">
        <f t="shared" si="68"/>
        <v>No</v>
      </c>
      <c r="V459" s="2" t="str">
        <f t="shared" si="69"/>
        <v>No</v>
      </c>
      <c r="W459" s="2" t="str">
        <f t="shared" si="70"/>
        <v>Regular</v>
      </c>
      <c r="X459" s="2" t="str">
        <f t="shared" si="71"/>
        <v>Non Discounted Bulk</v>
      </c>
    </row>
    <row r="460" spans="1:24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41</v>
      </c>
      <c r="F460" s="2" t="s">
        <v>39</v>
      </c>
      <c r="G460" s="2" t="s">
        <v>31</v>
      </c>
      <c r="H460" s="2" t="s">
        <v>45</v>
      </c>
      <c r="I460" s="2" t="s">
        <v>50</v>
      </c>
      <c r="J460" s="2" t="s">
        <v>64</v>
      </c>
      <c r="K460" s="2" t="s">
        <v>48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63"/>
        <v>7787.6</v>
      </c>
      <c r="Q460" s="2" t="str">
        <f t="shared" si="64"/>
        <v>No</v>
      </c>
      <c r="R460" s="2" t="str">
        <f t="shared" si="65"/>
        <v>No</v>
      </c>
      <c r="S460" s="2" t="str">
        <f t="shared" si="66"/>
        <v>No</v>
      </c>
      <c r="T460" s="2" t="str">
        <f t="shared" si="67"/>
        <v>Normal</v>
      </c>
      <c r="U460" s="2" t="str">
        <f t="shared" si="68"/>
        <v>No</v>
      </c>
      <c r="V460" s="2" t="str">
        <f t="shared" si="69"/>
        <v>No</v>
      </c>
      <c r="W460" s="2" t="str">
        <f t="shared" si="70"/>
        <v>Regular</v>
      </c>
      <c r="X460" s="2" t="str">
        <f t="shared" si="71"/>
        <v>Discounted Bulk</v>
      </c>
    </row>
    <row r="461" spans="1:24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23</v>
      </c>
      <c r="F461" s="2" t="s">
        <v>30</v>
      </c>
      <c r="G461" s="2" t="s">
        <v>25</v>
      </c>
      <c r="H461" s="2" t="s">
        <v>26</v>
      </c>
      <c r="I461" s="2" t="s">
        <v>50</v>
      </c>
      <c r="J461" s="2" t="s">
        <v>51</v>
      </c>
      <c r="K461" s="2" t="s">
        <v>22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63"/>
        <v>445.38</v>
      </c>
      <c r="Q461" s="2" t="str">
        <f t="shared" si="64"/>
        <v>No</v>
      </c>
      <c r="R461" s="2" t="str">
        <f t="shared" si="65"/>
        <v>No</v>
      </c>
      <c r="S461" s="2" t="str">
        <f t="shared" si="66"/>
        <v>Yes</v>
      </c>
      <c r="T461" s="2" t="str">
        <f t="shared" si="67"/>
        <v>Special Attention</v>
      </c>
      <c r="U461" s="2" t="str">
        <f t="shared" si="68"/>
        <v>Yes</v>
      </c>
      <c r="V461" s="2" t="str">
        <f t="shared" si="69"/>
        <v>Yes</v>
      </c>
      <c r="W461" s="2" t="str">
        <f t="shared" si="70"/>
        <v>Regular</v>
      </c>
      <c r="X461" s="2" t="str">
        <f t="shared" si="71"/>
        <v>Discounted Bulk</v>
      </c>
    </row>
    <row r="462" spans="1:24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47</v>
      </c>
      <c r="F462" s="2" t="s">
        <v>39</v>
      </c>
      <c r="G462" s="2" t="s">
        <v>31</v>
      </c>
      <c r="H462" s="2" t="s">
        <v>19</v>
      </c>
      <c r="I462" s="2" t="s">
        <v>53</v>
      </c>
      <c r="J462" s="2" t="s">
        <v>65</v>
      </c>
      <c r="K462" s="2" t="s">
        <v>48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63"/>
        <v>3157.2</v>
      </c>
      <c r="Q462" s="2" t="str">
        <f t="shared" si="64"/>
        <v>No</v>
      </c>
      <c r="R462" s="2" t="str">
        <f t="shared" si="65"/>
        <v>No</v>
      </c>
      <c r="S462" s="2" t="str">
        <f t="shared" si="66"/>
        <v>No</v>
      </c>
      <c r="T462" s="2" t="str">
        <f t="shared" si="67"/>
        <v>Normal</v>
      </c>
      <c r="U462" s="2" t="str">
        <f t="shared" si="68"/>
        <v>No</v>
      </c>
      <c r="V462" s="2" t="str">
        <f t="shared" si="69"/>
        <v>No</v>
      </c>
      <c r="W462" s="2" t="str">
        <f t="shared" si="70"/>
        <v>Regular</v>
      </c>
      <c r="X462" s="2" t="str">
        <f t="shared" si="71"/>
        <v>Discounted Bulk</v>
      </c>
    </row>
    <row r="463" spans="1:24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16</v>
      </c>
      <c r="F463" s="2" t="s">
        <v>39</v>
      </c>
      <c r="G463" s="2" t="s">
        <v>18</v>
      </c>
      <c r="H463" s="2" t="s">
        <v>26</v>
      </c>
      <c r="I463" s="2" t="s">
        <v>53</v>
      </c>
      <c r="J463" s="2" t="s">
        <v>65</v>
      </c>
      <c r="K463" s="2" t="s">
        <v>46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63"/>
        <v>2311.5</v>
      </c>
      <c r="Q463" s="2" t="str">
        <f t="shared" si="64"/>
        <v>No</v>
      </c>
      <c r="R463" s="2" t="str">
        <f t="shared" si="65"/>
        <v>No</v>
      </c>
      <c r="S463" s="2" t="str">
        <f t="shared" si="66"/>
        <v>Yes</v>
      </c>
      <c r="T463" s="2" t="str">
        <f t="shared" si="67"/>
        <v>Normal</v>
      </c>
      <c r="U463" s="2" t="str">
        <f t="shared" si="68"/>
        <v>No</v>
      </c>
      <c r="V463" s="2" t="str">
        <f t="shared" si="69"/>
        <v>No</v>
      </c>
      <c r="W463" s="2" t="str">
        <f t="shared" si="70"/>
        <v>Regular</v>
      </c>
      <c r="X463" s="2" t="str">
        <f t="shared" si="71"/>
        <v>Discounted Bulk</v>
      </c>
    </row>
    <row r="464" spans="1:24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23</v>
      </c>
      <c r="F464" s="2" t="s">
        <v>17</v>
      </c>
      <c r="G464" s="2" t="s">
        <v>25</v>
      </c>
      <c r="H464" s="2" t="s">
        <v>36</v>
      </c>
      <c r="I464" s="2" t="s">
        <v>27</v>
      </c>
      <c r="J464" s="2" t="s">
        <v>37</v>
      </c>
      <c r="K464" s="2" t="s">
        <v>48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63"/>
        <v>10361.6</v>
      </c>
      <c r="Q464" s="2" t="str">
        <f t="shared" si="64"/>
        <v>No</v>
      </c>
      <c r="R464" s="2" t="str">
        <f t="shared" si="65"/>
        <v>No</v>
      </c>
      <c r="S464" s="2" t="str">
        <f t="shared" si="66"/>
        <v>Yes</v>
      </c>
      <c r="T464" s="2" t="str">
        <f t="shared" si="67"/>
        <v>Normal</v>
      </c>
      <c r="U464" s="2" t="str">
        <f t="shared" si="68"/>
        <v>Yes</v>
      </c>
      <c r="V464" s="2" t="str">
        <f t="shared" si="69"/>
        <v>Yes</v>
      </c>
      <c r="W464" s="2" t="str">
        <f t="shared" si="70"/>
        <v>Regular</v>
      </c>
      <c r="X464" s="2" t="str">
        <f t="shared" si="71"/>
        <v>Discounted Bulk</v>
      </c>
    </row>
    <row r="465" spans="1:24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47</v>
      </c>
      <c r="F465" s="2" t="s">
        <v>24</v>
      </c>
      <c r="G465" s="2" t="s">
        <v>31</v>
      </c>
      <c r="H465" s="2" t="s">
        <v>43</v>
      </c>
      <c r="I465" s="2" t="s">
        <v>32</v>
      </c>
      <c r="J465" s="2" t="s">
        <v>66</v>
      </c>
      <c r="K465" s="2" t="s">
        <v>48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63"/>
        <v>559.4</v>
      </c>
      <c r="Q465" s="2" t="str">
        <f t="shared" si="64"/>
        <v>No</v>
      </c>
      <c r="R465" s="2" t="str">
        <f t="shared" si="65"/>
        <v>No</v>
      </c>
      <c r="S465" s="2" t="str">
        <f t="shared" si="66"/>
        <v>No</v>
      </c>
      <c r="T465" s="2" t="str">
        <f t="shared" si="67"/>
        <v>Special Attention</v>
      </c>
      <c r="U465" s="2" t="str">
        <f t="shared" si="68"/>
        <v>No</v>
      </c>
      <c r="V465" s="2" t="str">
        <f t="shared" si="69"/>
        <v>No</v>
      </c>
      <c r="W465" s="2" t="str">
        <f t="shared" si="70"/>
        <v>Regular</v>
      </c>
      <c r="X465" s="2" t="str">
        <f t="shared" si="71"/>
        <v>Discounted Bulk</v>
      </c>
    </row>
    <row r="466" spans="1:24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38</v>
      </c>
      <c r="F466" s="2" t="s">
        <v>24</v>
      </c>
      <c r="G466" s="2" t="s">
        <v>31</v>
      </c>
      <c r="H466" s="2" t="s">
        <v>45</v>
      </c>
      <c r="I466" s="2" t="s">
        <v>20</v>
      </c>
      <c r="J466" s="2" t="s">
        <v>44</v>
      </c>
      <c r="K466" s="2" t="s">
        <v>34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63"/>
        <v>2357.7600000000002</v>
      </c>
      <c r="Q466" s="2" t="str">
        <f t="shared" si="64"/>
        <v>No</v>
      </c>
      <c r="R466" s="2" t="str">
        <f t="shared" si="65"/>
        <v>No</v>
      </c>
      <c r="S466" s="2" t="str">
        <f t="shared" si="66"/>
        <v>No</v>
      </c>
      <c r="T466" s="2" t="str">
        <f t="shared" si="67"/>
        <v>Normal</v>
      </c>
      <c r="U466" s="2" t="str">
        <f t="shared" si="68"/>
        <v>No</v>
      </c>
      <c r="V466" s="2" t="str">
        <f t="shared" si="69"/>
        <v>No</v>
      </c>
      <c r="W466" s="2" t="str">
        <f t="shared" si="70"/>
        <v>Regular</v>
      </c>
      <c r="X466" s="2" t="str">
        <f t="shared" si="71"/>
        <v>Discounted Bulk</v>
      </c>
    </row>
    <row r="467" spans="1:24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17</v>
      </c>
      <c r="F467" s="2" t="s">
        <v>42</v>
      </c>
      <c r="G467" s="2" t="s">
        <v>31</v>
      </c>
      <c r="H467" s="2" t="s">
        <v>36</v>
      </c>
      <c r="I467" s="2" t="s">
        <v>20</v>
      </c>
      <c r="J467" s="2" t="s">
        <v>44</v>
      </c>
      <c r="K467" s="2" t="s">
        <v>29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63"/>
        <v>22638.239999999998</v>
      </c>
      <c r="Q467" s="2" t="str">
        <f t="shared" si="64"/>
        <v>Yes</v>
      </c>
      <c r="R467" s="2" t="str">
        <f t="shared" si="65"/>
        <v>No</v>
      </c>
      <c r="S467" s="2" t="str">
        <f t="shared" si="66"/>
        <v>No</v>
      </c>
      <c r="T467" s="2" t="str">
        <f t="shared" si="67"/>
        <v>Normal</v>
      </c>
      <c r="U467" s="2" t="str">
        <f t="shared" si="68"/>
        <v>No</v>
      </c>
      <c r="V467" s="2" t="str">
        <f t="shared" si="69"/>
        <v>No</v>
      </c>
      <c r="W467" s="2" t="str">
        <f t="shared" si="70"/>
        <v>Regular</v>
      </c>
      <c r="X467" s="2" t="str">
        <f t="shared" si="71"/>
        <v>Discounted Bulk</v>
      </c>
    </row>
    <row r="468" spans="1:24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23</v>
      </c>
      <c r="F468" s="2" t="s">
        <v>42</v>
      </c>
      <c r="G468" s="2" t="s">
        <v>18</v>
      </c>
      <c r="H468" s="2" t="s">
        <v>45</v>
      </c>
      <c r="I468" s="2" t="s">
        <v>27</v>
      </c>
      <c r="J468" s="2" t="s">
        <v>70</v>
      </c>
      <c r="K468" s="2" t="s">
        <v>29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63"/>
        <v>14038.88</v>
      </c>
      <c r="Q468" s="2" t="str">
        <f t="shared" si="64"/>
        <v>No</v>
      </c>
      <c r="R468" s="2" t="str">
        <f t="shared" si="65"/>
        <v>No</v>
      </c>
      <c r="S468" s="2" t="str">
        <f t="shared" si="66"/>
        <v>Yes</v>
      </c>
      <c r="T468" s="2" t="str">
        <f t="shared" si="67"/>
        <v>Normal</v>
      </c>
      <c r="U468" s="2" t="str">
        <f t="shared" si="68"/>
        <v>No</v>
      </c>
      <c r="V468" s="2" t="str">
        <f t="shared" si="69"/>
        <v>No</v>
      </c>
      <c r="W468" s="2" t="str">
        <f t="shared" si="70"/>
        <v>Regular</v>
      </c>
      <c r="X468" s="2" t="str">
        <f t="shared" si="71"/>
        <v>Discounted Bulk</v>
      </c>
    </row>
    <row r="469" spans="1:24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23</v>
      </c>
      <c r="F469" s="2" t="s">
        <v>17</v>
      </c>
      <c r="G469" s="2" t="s">
        <v>18</v>
      </c>
      <c r="H469" s="2" t="s">
        <v>19</v>
      </c>
      <c r="I469" s="2" t="s">
        <v>58</v>
      </c>
      <c r="J469" s="2" t="s">
        <v>60</v>
      </c>
      <c r="K469" s="2" t="s">
        <v>46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63"/>
        <v>17014.77</v>
      </c>
      <c r="Q469" s="2" t="str">
        <f t="shared" si="64"/>
        <v>Yes</v>
      </c>
      <c r="R469" s="2" t="str">
        <f t="shared" si="65"/>
        <v>Yes</v>
      </c>
      <c r="S469" s="2" t="str">
        <f t="shared" si="66"/>
        <v>Yes</v>
      </c>
      <c r="T469" s="2" t="str">
        <f t="shared" si="67"/>
        <v>Normal</v>
      </c>
      <c r="U469" s="2" t="str">
        <f t="shared" si="68"/>
        <v>No</v>
      </c>
      <c r="V469" s="2" t="str">
        <f t="shared" si="69"/>
        <v>No</v>
      </c>
      <c r="W469" s="2" t="str">
        <f t="shared" si="70"/>
        <v>Regular</v>
      </c>
      <c r="X469" s="2" t="str">
        <f t="shared" si="71"/>
        <v>Non Discounted Bulk</v>
      </c>
    </row>
    <row r="470" spans="1:24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16</v>
      </c>
      <c r="F470" s="2" t="s">
        <v>42</v>
      </c>
      <c r="G470" s="2" t="s">
        <v>31</v>
      </c>
      <c r="H470" s="2" t="s">
        <v>19</v>
      </c>
      <c r="I470" s="2" t="s">
        <v>32</v>
      </c>
      <c r="J470" s="2" t="s">
        <v>49</v>
      </c>
      <c r="K470" s="2" t="s">
        <v>46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63"/>
        <v>19726.75</v>
      </c>
      <c r="Q470" s="2" t="str">
        <f t="shared" si="64"/>
        <v>Yes</v>
      </c>
      <c r="R470" s="2" t="str">
        <f t="shared" si="65"/>
        <v>No</v>
      </c>
      <c r="S470" s="2" t="str">
        <f t="shared" si="66"/>
        <v>No</v>
      </c>
      <c r="T470" s="2" t="str">
        <f t="shared" si="67"/>
        <v>Normal</v>
      </c>
      <c r="U470" s="2" t="str">
        <f t="shared" si="68"/>
        <v>No</v>
      </c>
      <c r="V470" s="2" t="str">
        <f t="shared" si="69"/>
        <v>No</v>
      </c>
      <c r="W470" s="2" t="str">
        <f t="shared" si="70"/>
        <v>Regular</v>
      </c>
      <c r="X470" s="2" t="str">
        <f t="shared" si="71"/>
        <v>Discounted Bulk</v>
      </c>
    </row>
    <row r="471" spans="1:24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35</v>
      </c>
      <c r="F471" s="2" t="s">
        <v>30</v>
      </c>
      <c r="G471" s="2" t="s">
        <v>31</v>
      </c>
      <c r="H471" s="2" t="s">
        <v>19</v>
      </c>
      <c r="I471" s="2" t="s">
        <v>27</v>
      </c>
      <c r="J471" s="2" t="s">
        <v>37</v>
      </c>
      <c r="K471" s="2" t="s">
        <v>29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63"/>
        <v>1205.76</v>
      </c>
      <c r="Q471" s="2" t="str">
        <f t="shared" si="64"/>
        <v>No</v>
      </c>
      <c r="R471" s="2" t="str">
        <f t="shared" si="65"/>
        <v>No</v>
      </c>
      <c r="S471" s="2" t="str">
        <f t="shared" si="66"/>
        <v>No</v>
      </c>
      <c r="T471" s="2" t="str">
        <f t="shared" si="67"/>
        <v>Normal</v>
      </c>
      <c r="U471" s="2" t="str">
        <f t="shared" si="68"/>
        <v>No</v>
      </c>
      <c r="V471" s="2" t="str">
        <f t="shared" si="69"/>
        <v>No</v>
      </c>
      <c r="W471" s="2" t="str">
        <f t="shared" si="70"/>
        <v>Regular</v>
      </c>
      <c r="X471" s="2" t="str">
        <f t="shared" si="71"/>
        <v>Non Discounted Bulk</v>
      </c>
    </row>
    <row r="472" spans="1:24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38</v>
      </c>
      <c r="F472" s="2" t="s">
        <v>55</v>
      </c>
      <c r="G472" s="2" t="s">
        <v>18</v>
      </c>
      <c r="H472" s="2" t="s">
        <v>45</v>
      </c>
      <c r="I472" s="2" t="s">
        <v>32</v>
      </c>
      <c r="J472" s="2" t="s">
        <v>49</v>
      </c>
      <c r="K472" s="2" t="s">
        <v>34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63"/>
        <v>22624.38</v>
      </c>
      <c r="Q472" s="2" t="str">
        <f t="shared" si="64"/>
        <v>Yes</v>
      </c>
      <c r="R472" s="2" t="str">
        <f t="shared" si="65"/>
        <v>No</v>
      </c>
      <c r="S472" s="2" t="str">
        <f t="shared" si="66"/>
        <v>Yes</v>
      </c>
      <c r="T472" s="2" t="str">
        <f t="shared" si="67"/>
        <v>Normal</v>
      </c>
      <c r="U472" s="2" t="str">
        <f t="shared" si="68"/>
        <v>No</v>
      </c>
      <c r="V472" s="2" t="str">
        <f t="shared" si="69"/>
        <v>No</v>
      </c>
      <c r="W472" s="2" t="str">
        <f t="shared" si="70"/>
        <v>Regular</v>
      </c>
      <c r="X472" s="2" t="str">
        <f t="shared" si="71"/>
        <v>Non Discounted Bulk</v>
      </c>
    </row>
    <row r="473" spans="1:24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16</v>
      </c>
      <c r="F473" s="2" t="s">
        <v>55</v>
      </c>
      <c r="G473" s="2" t="s">
        <v>31</v>
      </c>
      <c r="H473" s="2" t="s">
        <v>36</v>
      </c>
      <c r="I473" s="2" t="s">
        <v>32</v>
      </c>
      <c r="J473" s="2" t="s">
        <v>49</v>
      </c>
      <c r="K473" s="2" t="s">
        <v>29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63"/>
        <v>12616.25</v>
      </c>
      <c r="Q473" s="2" t="str">
        <f t="shared" si="64"/>
        <v>Yes</v>
      </c>
      <c r="R473" s="2" t="str">
        <f t="shared" si="65"/>
        <v>No</v>
      </c>
      <c r="S473" s="2" t="str">
        <f t="shared" si="66"/>
        <v>No</v>
      </c>
      <c r="T473" s="2" t="str">
        <f t="shared" si="67"/>
        <v>Normal</v>
      </c>
      <c r="U473" s="2" t="str">
        <f t="shared" si="68"/>
        <v>No</v>
      </c>
      <c r="V473" s="2" t="str">
        <f t="shared" si="69"/>
        <v>No</v>
      </c>
      <c r="W473" s="2" t="str">
        <f t="shared" si="70"/>
        <v>Regular</v>
      </c>
      <c r="X473" s="2" t="str">
        <f t="shared" si="71"/>
        <v>Discounted Bulk</v>
      </c>
    </row>
    <row r="474" spans="1:24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47</v>
      </c>
      <c r="F474" s="2" t="s">
        <v>55</v>
      </c>
      <c r="G474" s="2" t="s">
        <v>31</v>
      </c>
      <c r="H474" s="2" t="s">
        <v>19</v>
      </c>
      <c r="I474" s="2" t="s">
        <v>32</v>
      </c>
      <c r="J474" s="2" t="s">
        <v>49</v>
      </c>
      <c r="K474" s="2" t="s">
        <v>34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63"/>
        <v>11466.960000000001</v>
      </c>
      <c r="Q474" s="2" t="str">
        <f t="shared" si="64"/>
        <v>Yes</v>
      </c>
      <c r="R474" s="2" t="str">
        <f t="shared" si="65"/>
        <v>No</v>
      </c>
      <c r="S474" s="2" t="str">
        <f t="shared" si="66"/>
        <v>No</v>
      </c>
      <c r="T474" s="2" t="str">
        <f t="shared" si="67"/>
        <v>Normal</v>
      </c>
      <c r="U474" s="2" t="str">
        <f t="shared" si="68"/>
        <v>No</v>
      </c>
      <c r="V474" s="2" t="str">
        <f t="shared" si="69"/>
        <v>No</v>
      </c>
      <c r="W474" s="2" t="str">
        <f t="shared" si="70"/>
        <v>Regular</v>
      </c>
      <c r="X474" s="2" t="str">
        <f t="shared" si="71"/>
        <v>Discounted Bulk</v>
      </c>
    </row>
    <row r="475" spans="1:24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47</v>
      </c>
      <c r="F475" s="2" t="s">
        <v>17</v>
      </c>
      <c r="G475" s="2" t="s">
        <v>18</v>
      </c>
      <c r="H475" s="2" t="s">
        <v>36</v>
      </c>
      <c r="I475" s="2" t="s">
        <v>27</v>
      </c>
      <c r="J475" s="2" t="s">
        <v>28</v>
      </c>
      <c r="K475" s="2" t="s">
        <v>46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63"/>
        <v>1678.25</v>
      </c>
      <c r="Q475" s="2" t="str">
        <f t="shared" si="64"/>
        <v>No</v>
      </c>
      <c r="R475" s="2" t="str">
        <f t="shared" si="65"/>
        <v>No</v>
      </c>
      <c r="S475" s="2" t="str">
        <f t="shared" si="66"/>
        <v>Yes</v>
      </c>
      <c r="T475" s="2" t="str">
        <f t="shared" si="67"/>
        <v>Normal</v>
      </c>
      <c r="U475" s="2" t="str">
        <f t="shared" si="68"/>
        <v>No</v>
      </c>
      <c r="V475" s="2" t="str">
        <f t="shared" si="69"/>
        <v>No</v>
      </c>
      <c r="W475" s="2" t="str">
        <f t="shared" si="70"/>
        <v>Regular</v>
      </c>
      <c r="X475" s="2" t="str">
        <f t="shared" si="71"/>
        <v>Discounted Bulk</v>
      </c>
    </row>
    <row r="476" spans="1:24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47</v>
      </c>
      <c r="F476" s="2" t="s">
        <v>17</v>
      </c>
      <c r="G476" s="2" t="s">
        <v>31</v>
      </c>
      <c r="H476" s="2" t="s">
        <v>45</v>
      </c>
      <c r="I476" s="2" t="s">
        <v>20</v>
      </c>
      <c r="J476" s="2" t="s">
        <v>56</v>
      </c>
      <c r="K476" s="2" t="s">
        <v>22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63"/>
        <v>13322.61</v>
      </c>
      <c r="Q476" s="2" t="str">
        <f t="shared" si="64"/>
        <v>Yes</v>
      </c>
      <c r="R476" s="2" t="str">
        <f t="shared" si="65"/>
        <v>No</v>
      </c>
      <c r="S476" s="2" t="str">
        <f t="shared" si="66"/>
        <v>No</v>
      </c>
      <c r="T476" s="2" t="str">
        <f t="shared" si="67"/>
        <v>Normal</v>
      </c>
      <c r="U476" s="2" t="str">
        <f t="shared" si="68"/>
        <v>No</v>
      </c>
      <c r="V476" s="2" t="str">
        <f t="shared" si="69"/>
        <v>No</v>
      </c>
      <c r="W476" s="2" t="str">
        <f t="shared" si="70"/>
        <v>Regular</v>
      </c>
      <c r="X476" s="2" t="str">
        <f t="shared" si="71"/>
        <v>Discounted Bulk</v>
      </c>
    </row>
    <row r="477" spans="1:24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47</v>
      </c>
      <c r="F477" s="2" t="s">
        <v>39</v>
      </c>
      <c r="G477" s="2" t="s">
        <v>31</v>
      </c>
      <c r="H477" s="2" t="s">
        <v>36</v>
      </c>
      <c r="I477" s="2" t="s">
        <v>20</v>
      </c>
      <c r="J477" s="2" t="s">
        <v>21</v>
      </c>
      <c r="K477" s="2" t="s">
        <v>46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63"/>
        <v>6990.4</v>
      </c>
      <c r="Q477" s="2" t="str">
        <f t="shared" si="64"/>
        <v>No</v>
      </c>
      <c r="R477" s="2" t="str">
        <f t="shared" si="65"/>
        <v>No</v>
      </c>
      <c r="S477" s="2" t="str">
        <f t="shared" si="66"/>
        <v>No</v>
      </c>
      <c r="T477" s="2" t="str">
        <f t="shared" si="67"/>
        <v>Normal</v>
      </c>
      <c r="U477" s="2" t="str">
        <f t="shared" si="68"/>
        <v>No</v>
      </c>
      <c r="V477" s="2" t="str">
        <f t="shared" si="69"/>
        <v>No</v>
      </c>
      <c r="W477" s="2" t="str">
        <f t="shared" si="70"/>
        <v>Regular</v>
      </c>
      <c r="X477" s="2" t="str">
        <f t="shared" si="71"/>
        <v>Discounted Bulk</v>
      </c>
    </row>
    <row r="478" spans="1:24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35</v>
      </c>
      <c r="F478" s="2" t="s">
        <v>55</v>
      </c>
      <c r="G478" s="2" t="s">
        <v>31</v>
      </c>
      <c r="H478" s="2" t="s">
        <v>45</v>
      </c>
      <c r="I478" s="2" t="s">
        <v>32</v>
      </c>
      <c r="J478" s="2" t="s">
        <v>49</v>
      </c>
      <c r="K478" s="2" t="s">
        <v>46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63"/>
        <v>5924.8</v>
      </c>
      <c r="Q478" s="2" t="str">
        <f t="shared" si="64"/>
        <v>No</v>
      </c>
      <c r="R478" s="2" t="str">
        <f t="shared" si="65"/>
        <v>No</v>
      </c>
      <c r="S478" s="2" t="str">
        <f t="shared" si="66"/>
        <v>No</v>
      </c>
      <c r="T478" s="2" t="str">
        <f t="shared" si="67"/>
        <v>Normal</v>
      </c>
      <c r="U478" s="2" t="str">
        <f t="shared" si="68"/>
        <v>No</v>
      </c>
      <c r="V478" s="2" t="str">
        <f t="shared" si="69"/>
        <v>No</v>
      </c>
      <c r="W478" s="2" t="str">
        <f t="shared" si="70"/>
        <v>Regular</v>
      </c>
      <c r="X478" s="2" t="str">
        <f t="shared" si="71"/>
        <v>Discounted Bulk</v>
      </c>
    </row>
    <row r="479" spans="1:24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38</v>
      </c>
      <c r="F479" s="2" t="s">
        <v>30</v>
      </c>
      <c r="G479" s="2" t="s">
        <v>18</v>
      </c>
      <c r="H479" s="2" t="s">
        <v>45</v>
      </c>
      <c r="I479" s="2" t="s">
        <v>58</v>
      </c>
      <c r="J479" s="2" t="s">
        <v>63</v>
      </c>
      <c r="K479" s="2" t="s">
        <v>48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63"/>
        <v>3355.6</v>
      </c>
      <c r="Q479" s="2" t="str">
        <f t="shared" si="64"/>
        <v>No</v>
      </c>
      <c r="R479" s="2" t="str">
        <f t="shared" si="65"/>
        <v>No</v>
      </c>
      <c r="S479" s="2" t="str">
        <f t="shared" si="66"/>
        <v>Yes</v>
      </c>
      <c r="T479" s="2" t="str">
        <f t="shared" si="67"/>
        <v>Normal</v>
      </c>
      <c r="U479" s="2" t="str">
        <f t="shared" si="68"/>
        <v>No</v>
      </c>
      <c r="V479" s="2" t="str">
        <f t="shared" si="69"/>
        <v>No</v>
      </c>
      <c r="W479" s="2" t="str">
        <f t="shared" si="70"/>
        <v>Regular</v>
      </c>
      <c r="X479" s="2" t="str">
        <f t="shared" si="71"/>
        <v>Discounted Bulk</v>
      </c>
    </row>
    <row r="480" spans="1:24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41</v>
      </c>
      <c r="F480" s="2" t="s">
        <v>42</v>
      </c>
      <c r="G480" s="2" t="s">
        <v>31</v>
      </c>
      <c r="H480" s="2" t="s">
        <v>43</v>
      </c>
      <c r="I480" s="2" t="s">
        <v>50</v>
      </c>
      <c r="J480" s="2" t="s">
        <v>69</v>
      </c>
      <c r="K480" s="2" t="s">
        <v>48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63"/>
        <v>2732.73</v>
      </c>
      <c r="Q480" s="2" t="str">
        <f t="shared" si="64"/>
        <v>No</v>
      </c>
      <c r="R480" s="2" t="str">
        <f t="shared" si="65"/>
        <v>No</v>
      </c>
      <c r="S480" s="2" t="str">
        <f t="shared" si="66"/>
        <v>No</v>
      </c>
      <c r="T480" s="2" t="str">
        <f t="shared" si="67"/>
        <v>Normal</v>
      </c>
      <c r="U480" s="2" t="str">
        <f t="shared" si="68"/>
        <v>No</v>
      </c>
      <c r="V480" s="2" t="str">
        <f t="shared" si="69"/>
        <v>No</v>
      </c>
      <c r="W480" s="2" t="str">
        <f t="shared" si="70"/>
        <v>Regular</v>
      </c>
      <c r="X480" s="2" t="str">
        <f t="shared" si="71"/>
        <v>Discounted Bulk</v>
      </c>
    </row>
    <row r="481" spans="1:24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17</v>
      </c>
      <c r="F481" s="2" t="s">
        <v>30</v>
      </c>
      <c r="G481" s="2" t="s">
        <v>18</v>
      </c>
      <c r="H481" s="2" t="s">
        <v>45</v>
      </c>
      <c r="I481" s="2" t="s">
        <v>27</v>
      </c>
      <c r="J481" s="2" t="s">
        <v>37</v>
      </c>
      <c r="K481" s="2" t="s">
        <v>48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63"/>
        <v>5070</v>
      </c>
      <c r="Q481" s="2" t="str">
        <f t="shared" si="64"/>
        <v>No</v>
      </c>
      <c r="R481" s="2" t="str">
        <f t="shared" si="65"/>
        <v>No</v>
      </c>
      <c r="S481" s="2" t="str">
        <f t="shared" si="66"/>
        <v>Yes</v>
      </c>
      <c r="T481" s="2" t="str">
        <f t="shared" si="67"/>
        <v>Normal</v>
      </c>
      <c r="U481" s="2" t="str">
        <f t="shared" si="68"/>
        <v>No</v>
      </c>
      <c r="V481" s="2" t="str">
        <f t="shared" si="69"/>
        <v>No</v>
      </c>
      <c r="W481" s="2" t="str">
        <f t="shared" si="70"/>
        <v>Regular</v>
      </c>
      <c r="X481" s="2" t="str">
        <f t="shared" si="71"/>
        <v>Discounted Bulk</v>
      </c>
    </row>
    <row r="482" spans="1:24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35</v>
      </c>
      <c r="F482" s="2" t="s">
        <v>42</v>
      </c>
      <c r="G482" s="2" t="s">
        <v>18</v>
      </c>
      <c r="H482" s="2" t="s">
        <v>45</v>
      </c>
      <c r="I482" s="2" t="s">
        <v>50</v>
      </c>
      <c r="J482" s="2" t="s">
        <v>51</v>
      </c>
      <c r="K482" s="2" t="s">
        <v>48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63"/>
        <v>9284.08</v>
      </c>
      <c r="Q482" s="2" t="str">
        <f t="shared" si="64"/>
        <v>No</v>
      </c>
      <c r="R482" s="2" t="str">
        <f t="shared" si="65"/>
        <v>No</v>
      </c>
      <c r="S482" s="2" t="str">
        <f t="shared" si="66"/>
        <v>Yes</v>
      </c>
      <c r="T482" s="2" t="str">
        <f t="shared" si="67"/>
        <v>Normal</v>
      </c>
      <c r="U482" s="2" t="str">
        <f t="shared" si="68"/>
        <v>No</v>
      </c>
      <c r="V482" s="2" t="str">
        <f t="shared" si="69"/>
        <v>No</v>
      </c>
      <c r="W482" s="2" t="str">
        <f t="shared" si="70"/>
        <v>Regular</v>
      </c>
      <c r="X482" s="2" t="str">
        <f t="shared" si="71"/>
        <v>Discounted Bulk</v>
      </c>
    </row>
    <row r="483" spans="1:24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35</v>
      </c>
      <c r="F483" s="2" t="s">
        <v>55</v>
      </c>
      <c r="G483" s="2" t="s">
        <v>25</v>
      </c>
      <c r="H483" s="2" t="s">
        <v>26</v>
      </c>
      <c r="I483" s="2" t="s">
        <v>58</v>
      </c>
      <c r="J483" s="2" t="s">
        <v>68</v>
      </c>
      <c r="K483" s="2" t="s">
        <v>34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63"/>
        <v>15205.679999999998</v>
      </c>
      <c r="Q483" s="2" t="str">
        <f t="shared" si="64"/>
        <v>Yes</v>
      </c>
      <c r="R483" s="2" t="str">
        <f t="shared" si="65"/>
        <v>No</v>
      </c>
      <c r="S483" s="2" t="str">
        <f t="shared" si="66"/>
        <v>Yes</v>
      </c>
      <c r="T483" s="2" t="str">
        <f t="shared" si="67"/>
        <v>Normal</v>
      </c>
      <c r="U483" s="2" t="str">
        <f t="shared" si="68"/>
        <v>Yes</v>
      </c>
      <c r="V483" s="2" t="str">
        <f t="shared" si="69"/>
        <v>Yes</v>
      </c>
      <c r="W483" s="2" t="str">
        <f t="shared" si="70"/>
        <v>Regular</v>
      </c>
      <c r="X483" s="2" t="str">
        <f t="shared" si="71"/>
        <v>Discounted Bulk</v>
      </c>
    </row>
    <row r="484" spans="1:24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41</v>
      </c>
      <c r="F484" s="2" t="s">
        <v>55</v>
      </c>
      <c r="G484" s="2" t="s">
        <v>25</v>
      </c>
      <c r="H484" s="2" t="s">
        <v>19</v>
      </c>
      <c r="I484" s="2" t="s">
        <v>27</v>
      </c>
      <c r="J484" s="2" t="s">
        <v>62</v>
      </c>
      <c r="K484" s="2" t="s">
        <v>29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63"/>
        <v>1734.4499999999998</v>
      </c>
      <c r="Q484" s="2" t="str">
        <f t="shared" si="64"/>
        <v>No</v>
      </c>
      <c r="R484" s="2" t="str">
        <f t="shared" si="65"/>
        <v>No</v>
      </c>
      <c r="S484" s="2" t="str">
        <f t="shared" si="66"/>
        <v>Yes</v>
      </c>
      <c r="T484" s="2" t="str">
        <f t="shared" si="67"/>
        <v>Normal</v>
      </c>
      <c r="U484" s="2" t="str">
        <f t="shared" si="68"/>
        <v>Yes</v>
      </c>
      <c r="V484" s="2" t="str">
        <f t="shared" si="69"/>
        <v>Yes</v>
      </c>
      <c r="W484" s="2" t="str">
        <f t="shared" si="70"/>
        <v>Regular</v>
      </c>
      <c r="X484" s="2" t="str">
        <f t="shared" si="71"/>
        <v>Discounted Bulk</v>
      </c>
    </row>
    <row r="485" spans="1:24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41</v>
      </c>
      <c r="F485" s="2" t="s">
        <v>55</v>
      </c>
      <c r="G485" s="2" t="s">
        <v>31</v>
      </c>
      <c r="H485" s="2" t="s">
        <v>43</v>
      </c>
      <c r="I485" s="2" t="s">
        <v>32</v>
      </c>
      <c r="J485" s="2" t="s">
        <v>66</v>
      </c>
      <c r="K485" s="2" t="s">
        <v>22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63"/>
        <v>27939.599999999999</v>
      </c>
      <c r="Q485" s="2" t="str">
        <f t="shared" si="64"/>
        <v>Yes</v>
      </c>
      <c r="R485" s="2" t="str">
        <f t="shared" si="65"/>
        <v>No</v>
      </c>
      <c r="S485" s="2" t="str">
        <f t="shared" si="66"/>
        <v>No</v>
      </c>
      <c r="T485" s="2" t="str">
        <f t="shared" si="67"/>
        <v>Normal</v>
      </c>
      <c r="U485" s="2" t="str">
        <f t="shared" si="68"/>
        <v>No</v>
      </c>
      <c r="V485" s="2" t="str">
        <f t="shared" si="69"/>
        <v>No</v>
      </c>
      <c r="W485" s="2" t="str">
        <f t="shared" si="70"/>
        <v>Regular</v>
      </c>
      <c r="X485" s="2" t="str">
        <f t="shared" si="71"/>
        <v>Non Discounted Bulk</v>
      </c>
    </row>
    <row r="486" spans="1:24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17</v>
      </c>
      <c r="F486" s="2" t="s">
        <v>17</v>
      </c>
      <c r="G486" s="2" t="s">
        <v>18</v>
      </c>
      <c r="H486" s="2" t="s">
        <v>43</v>
      </c>
      <c r="I486" s="2" t="s">
        <v>20</v>
      </c>
      <c r="J486" s="2" t="s">
        <v>44</v>
      </c>
      <c r="K486" s="2" t="s">
        <v>46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63"/>
        <v>2589.6799999999998</v>
      </c>
      <c r="Q486" s="2" t="str">
        <f t="shared" si="64"/>
        <v>No</v>
      </c>
      <c r="R486" s="2" t="str">
        <f t="shared" si="65"/>
        <v>No</v>
      </c>
      <c r="S486" s="2" t="str">
        <f t="shared" si="66"/>
        <v>Yes</v>
      </c>
      <c r="T486" s="2" t="str">
        <f t="shared" si="67"/>
        <v>Normal</v>
      </c>
      <c r="U486" s="2" t="str">
        <f t="shared" si="68"/>
        <v>No</v>
      </c>
      <c r="V486" s="2" t="str">
        <f t="shared" si="69"/>
        <v>No</v>
      </c>
      <c r="W486" s="2" t="str">
        <f t="shared" si="70"/>
        <v>Regular</v>
      </c>
      <c r="X486" s="2" t="str">
        <f t="shared" si="71"/>
        <v>Discounted Bulk</v>
      </c>
    </row>
    <row r="487" spans="1:24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17</v>
      </c>
      <c r="F487" s="2" t="s">
        <v>42</v>
      </c>
      <c r="G487" s="2" t="s">
        <v>25</v>
      </c>
      <c r="H487" s="2" t="s">
        <v>43</v>
      </c>
      <c r="I487" s="2" t="s">
        <v>50</v>
      </c>
      <c r="J487" s="2" t="s">
        <v>64</v>
      </c>
      <c r="K487" s="2" t="s">
        <v>34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63"/>
        <v>6981.93</v>
      </c>
      <c r="Q487" s="2" t="str">
        <f t="shared" si="64"/>
        <v>No</v>
      </c>
      <c r="R487" s="2" t="str">
        <f t="shared" si="65"/>
        <v>No</v>
      </c>
      <c r="S487" s="2" t="str">
        <f t="shared" si="66"/>
        <v>Yes</v>
      </c>
      <c r="T487" s="2" t="str">
        <f t="shared" si="67"/>
        <v>Normal</v>
      </c>
      <c r="U487" s="2" t="str">
        <f t="shared" si="68"/>
        <v>Yes</v>
      </c>
      <c r="V487" s="2" t="str">
        <f t="shared" si="69"/>
        <v>Yes</v>
      </c>
      <c r="W487" s="2" t="str">
        <f t="shared" si="70"/>
        <v>Regular</v>
      </c>
      <c r="X487" s="2" t="str">
        <f t="shared" si="71"/>
        <v>Discounted Bulk</v>
      </c>
    </row>
    <row r="488" spans="1:24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41</v>
      </c>
      <c r="F488" s="2" t="s">
        <v>17</v>
      </c>
      <c r="G488" s="2" t="s">
        <v>31</v>
      </c>
      <c r="H488" s="2" t="s">
        <v>26</v>
      </c>
      <c r="I488" s="2" t="s">
        <v>53</v>
      </c>
      <c r="J488" s="2" t="s">
        <v>54</v>
      </c>
      <c r="K488" s="2" t="s">
        <v>22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63"/>
        <v>11004.56</v>
      </c>
      <c r="Q488" s="2" t="str">
        <f t="shared" si="64"/>
        <v>No</v>
      </c>
      <c r="R488" s="2" t="str">
        <f t="shared" si="65"/>
        <v>No</v>
      </c>
      <c r="S488" s="2" t="str">
        <f t="shared" si="66"/>
        <v>No</v>
      </c>
      <c r="T488" s="2" t="str">
        <f t="shared" si="67"/>
        <v>Normal</v>
      </c>
      <c r="U488" s="2" t="str">
        <f t="shared" si="68"/>
        <v>No</v>
      </c>
      <c r="V488" s="2" t="str">
        <f t="shared" si="69"/>
        <v>No</v>
      </c>
      <c r="W488" s="2" t="str">
        <f t="shared" si="70"/>
        <v>Regular</v>
      </c>
      <c r="X488" s="2" t="str">
        <f t="shared" si="71"/>
        <v>Discounted Bulk</v>
      </c>
    </row>
    <row r="489" spans="1:24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47</v>
      </c>
      <c r="F489" s="2" t="s">
        <v>17</v>
      </c>
      <c r="G489" s="2" t="s">
        <v>25</v>
      </c>
      <c r="H489" s="2" t="s">
        <v>45</v>
      </c>
      <c r="I489" s="2" t="s">
        <v>53</v>
      </c>
      <c r="J489" s="2" t="s">
        <v>61</v>
      </c>
      <c r="K489" s="2" t="s">
        <v>34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63"/>
        <v>296.63</v>
      </c>
      <c r="Q489" s="2" t="str">
        <f t="shared" si="64"/>
        <v>No</v>
      </c>
      <c r="R489" s="2" t="str">
        <f t="shared" si="65"/>
        <v>No</v>
      </c>
      <c r="S489" s="2" t="str">
        <f t="shared" si="66"/>
        <v>Yes</v>
      </c>
      <c r="T489" s="2" t="str">
        <f t="shared" si="67"/>
        <v>Special Attention</v>
      </c>
      <c r="U489" s="2" t="str">
        <f t="shared" si="68"/>
        <v>Yes</v>
      </c>
      <c r="V489" s="2" t="str">
        <f t="shared" si="69"/>
        <v>Yes</v>
      </c>
      <c r="W489" s="2" t="str">
        <f t="shared" si="70"/>
        <v>Regular</v>
      </c>
      <c r="X489" s="2" t="str">
        <f t="shared" si="71"/>
        <v>Discounted Bulk</v>
      </c>
    </row>
    <row r="490" spans="1:24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35</v>
      </c>
      <c r="F490" s="2" t="s">
        <v>24</v>
      </c>
      <c r="G490" s="2" t="s">
        <v>25</v>
      </c>
      <c r="H490" s="2" t="s">
        <v>19</v>
      </c>
      <c r="I490" s="2" t="s">
        <v>58</v>
      </c>
      <c r="J490" s="2" t="s">
        <v>63</v>
      </c>
      <c r="K490" s="2" t="s">
        <v>34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63"/>
        <v>20295.04</v>
      </c>
      <c r="Q490" s="2" t="str">
        <f t="shared" si="64"/>
        <v>Yes</v>
      </c>
      <c r="R490" s="2" t="str">
        <f t="shared" si="65"/>
        <v>No</v>
      </c>
      <c r="S490" s="2" t="str">
        <f t="shared" si="66"/>
        <v>Yes</v>
      </c>
      <c r="T490" s="2" t="str">
        <f t="shared" si="67"/>
        <v>Normal</v>
      </c>
      <c r="U490" s="2" t="str">
        <f t="shared" si="68"/>
        <v>Yes</v>
      </c>
      <c r="V490" s="2" t="str">
        <f t="shared" si="69"/>
        <v>Yes</v>
      </c>
      <c r="W490" s="2" t="str">
        <f t="shared" si="70"/>
        <v>Regular</v>
      </c>
      <c r="X490" s="2" t="str">
        <f t="shared" si="71"/>
        <v>Non Discounted Bulk</v>
      </c>
    </row>
    <row r="491" spans="1:24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16</v>
      </c>
      <c r="F491" s="2" t="s">
        <v>30</v>
      </c>
      <c r="G491" s="2" t="s">
        <v>18</v>
      </c>
      <c r="H491" s="2" t="s">
        <v>36</v>
      </c>
      <c r="I491" s="2" t="s">
        <v>32</v>
      </c>
      <c r="J491" s="2" t="s">
        <v>33</v>
      </c>
      <c r="K491" s="2" t="s">
        <v>46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63"/>
        <v>19866.419999999998</v>
      </c>
      <c r="Q491" s="2" t="str">
        <f t="shared" si="64"/>
        <v>Yes</v>
      </c>
      <c r="R491" s="2" t="str">
        <f t="shared" si="65"/>
        <v>No</v>
      </c>
      <c r="S491" s="2" t="str">
        <f t="shared" si="66"/>
        <v>Yes</v>
      </c>
      <c r="T491" s="2" t="str">
        <f t="shared" si="67"/>
        <v>Normal</v>
      </c>
      <c r="U491" s="2" t="str">
        <f t="shared" si="68"/>
        <v>No</v>
      </c>
      <c r="V491" s="2" t="str">
        <f t="shared" si="69"/>
        <v>No</v>
      </c>
      <c r="W491" s="2" t="str">
        <f t="shared" si="70"/>
        <v>Regular</v>
      </c>
      <c r="X491" s="2" t="str">
        <f t="shared" si="71"/>
        <v>Discounted Bulk</v>
      </c>
    </row>
    <row r="492" spans="1:24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17</v>
      </c>
      <c r="F492" s="2" t="s">
        <v>30</v>
      </c>
      <c r="G492" s="2" t="s">
        <v>18</v>
      </c>
      <c r="H492" s="2" t="s">
        <v>45</v>
      </c>
      <c r="I492" s="2" t="s">
        <v>50</v>
      </c>
      <c r="J492" s="2" t="s">
        <v>64</v>
      </c>
      <c r="K492" s="2" t="s">
        <v>29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63"/>
        <v>4887.1499999999996</v>
      </c>
      <c r="Q492" s="2" t="str">
        <f t="shared" si="64"/>
        <v>No</v>
      </c>
      <c r="R492" s="2" t="str">
        <f t="shared" si="65"/>
        <v>No</v>
      </c>
      <c r="S492" s="2" t="str">
        <f t="shared" si="66"/>
        <v>Yes</v>
      </c>
      <c r="T492" s="2" t="str">
        <f t="shared" si="67"/>
        <v>Normal</v>
      </c>
      <c r="U492" s="2" t="str">
        <f t="shared" si="68"/>
        <v>No</v>
      </c>
      <c r="V492" s="2" t="str">
        <f t="shared" si="69"/>
        <v>No</v>
      </c>
      <c r="W492" s="2" t="str">
        <f t="shared" si="70"/>
        <v>Regular</v>
      </c>
      <c r="X492" s="2" t="str">
        <f t="shared" si="71"/>
        <v>Discounted Bulk</v>
      </c>
    </row>
    <row r="493" spans="1:24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17</v>
      </c>
      <c r="F493" s="2" t="s">
        <v>39</v>
      </c>
      <c r="G493" s="2" t="s">
        <v>25</v>
      </c>
      <c r="H493" s="2" t="s">
        <v>26</v>
      </c>
      <c r="I493" s="2" t="s">
        <v>32</v>
      </c>
      <c r="J493" s="2" t="s">
        <v>33</v>
      </c>
      <c r="K493" s="2" t="s">
        <v>48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63"/>
        <v>1557.8</v>
      </c>
      <c r="Q493" s="2" t="str">
        <f t="shared" si="64"/>
        <v>No</v>
      </c>
      <c r="R493" s="2" t="str">
        <f t="shared" si="65"/>
        <v>No</v>
      </c>
      <c r="S493" s="2" t="str">
        <f t="shared" si="66"/>
        <v>Yes</v>
      </c>
      <c r="T493" s="2" t="str">
        <f t="shared" si="67"/>
        <v>Normal</v>
      </c>
      <c r="U493" s="2" t="str">
        <f t="shared" si="68"/>
        <v>Yes</v>
      </c>
      <c r="V493" s="2" t="str">
        <f t="shared" si="69"/>
        <v>Yes</v>
      </c>
      <c r="W493" s="2" t="str">
        <f t="shared" si="70"/>
        <v>Regular</v>
      </c>
      <c r="X493" s="2" t="str">
        <f t="shared" si="71"/>
        <v>Discounted Bulk</v>
      </c>
    </row>
    <row r="494" spans="1:24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41</v>
      </c>
      <c r="F494" s="2" t="s">
        <v>17</v>
      </c>
      <c r="G494" s="2" t="s">
        <v>25</v>
      </c>
      <c r="H494" s="2" t="s">
        <v>45</v>
      </c>
      <c r="I494" s="2" t="s">
        <v>50</v>
      </c>
      <c r="J494" s="2" t="s">
        <v>69</v>
      </c>
      <c r="K494" s="2" t="s">
        <v>29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63"/>
        <v>10850.21</v>
      </c>
      <c r="Q494" s="2" t="str">
        <f t="shared" si="64"/>
        <v>No</v>
      </c>
      <c r="R494" s="2" t="str">
        <f t="shared" si="65"/>
        <v>No</v>
      </c>
      <c r="S494" s="2" t="str">
        <f t="shared" si="66"/>
        <v>Yes</v>
      </c>
      <c r="T494" s="2" t="str">
        <f t="shared" si="67"/>
        <v>Normal</v>
      </c>
      <c r="U494" s="2" t="str">
        <f t="shared" si="68"/>
        <v>Yes</v>
      </c>
      <c r="V494" s="2" t="str">
        <f t="shared" si="69"/>
        <v>Yes</v>
      </c>
      <c r="W494" s="2" t="str">
        <f t="shared" si="70"/>
        <v>Regular</v>
      </c>
      <c r="X494" s="2" t="str">
        <f t="shared" si="71"/>
        <v>Discounted Bulk</v>
      </c>
    </row>
    <row r="495" spans="1:24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38</v>
      </c>
      <c r="F495" s="2" t="s">
        <v>42</v>
      </c>
      <c r="G495" s="2" t="s">
        <v>18</v>
      </c>
      <c r="H495" s="2" t="s">
        <v>45</v>
      </c>
      <c r="I495" s="2" t="s">
        <v>58</v>
      </c>
      <c r="J495" s="2" t="s">
        <v>68</v>
      </c>
      <c r="K495" s="2" t="s">
        <v>46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63"/>
        <v>2647.9500000000003</v>
      </c>
      <c r="Q495" s="2" t="str">
        <f t="shared" si="64"/>
        <v>No</v>
      </c>
      <c r="R495" s="2" t="str">
        <f t="shared" si="65"/>
        <v>No</v>
      </c>
      <c r="S495" s="2" t="str">
        <f t="shared" si="66"/>
        <v>Yes</v>
      </c>
      <c r="T495" s="2" t="str">
        <f t="shared" si="67"/>
        <v>Normal</v>
      </c>
      <c r="U495" s="2" t="str">
        <f t="shared" si="68"/>
        <v>No</v>
      </c>
      <c r="V495" s="2" t="str">
        <f t="shared" si="69"/>
        <v>No</v>
      </c>
      <c r="W495" s="2" t="str">
        <f t="shared" si="70"/>
        <v>Regular</v>
      </c>
      <c r="X495" s="2" t="str">
        <f t="shared" si="71"/>
        <v>Discounted Bulk</v>
      </c>
    </row>
    <row r="496" spans="1:24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16</v>
      </c>
      <c r="F496" s="2" t="s">
        <v>24</v>
      </c>
      <c r="G496" s="2" t="s">
        <v>31</v>
      </c>
      <c r="H496" s="2" t="s">
        <v>26</v>
      </c>
      <c r="I496" s="2" t="s">
        <v>58</v>
      </c>
      <c r="J496" s="2" t="s">
        <v>60</v>
      </c>
      <c r="K496" s="2" t="s">
        <v>46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63"/>
        <v>4787.5200000000004</v>
      </c>
      <c r="Q496" s="2" t="str">
        <f t="shared" si="64"/>
        <v>No</v>
      </c>
      <c r="R496" s="2" t="str">
        <f t="shared" si="65"/>
        <v>No</v>
      </c>
      <c r="S496" s="2" t="str">
        <f t="shared" si="66"/>
        <v>No</v>
      </c>
      <c r="T496" s="2" t="str">
        <f t="shared" si="67"/>
        <v>Normal</v>
      </c>
      <c r="U496" s="2" t="str">
        <f t="shared" si="68"/>
        <v>No</v>
      </c>
      <c r="V496" s="2" t="str">
        <f t="shared" si="69"/>
        <v>No</v>
      </c>
      <c r="W496" s="2" t="str">
        <f t="shared" si="70"/>
        <v>Regular</v>
      </c>
      <c r="X496" s="2" t="str">
        <f t="shared" si="71"/>
        <v>Discounted Bulk</v>
      </c>
    </row>
    <row r="497" spans="1:24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16</v>
      </c>
      <c r="F497" s="2" t="s">
        <v>24</v>
      </c>
      <c r="G497" s="2" t="s">
        <v>18</v>
      </c>
      <c r="H497" s="2" t="s">
        <v>43</v>
      </c>
      <c r="I497" s="2" t="s">
        <v>53</v>
      </c>
      <c r="J497" s="2" t="s">
        <v>61</v>
      </c>
      <c r="K497" s="2" t="s">
        <v>46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63"/>
        <v>6773.4600000000009</v>
      </c>
      <c r="Q497" s="2" t="str">
        <f t="shared" si="64"/>
        <v>No</v>
      </c>
      <c r="R497" s="2" t="str">
        <f t="shared" si="65"/>
        <v>No</v>
      </c>
      <c r="S497" s="2" t="str">
        <f t="shared" si="66"/>
        <v>Yes</v>
      </c>
      <c r="T497" s="2" t="str">
        <f t="shared" si="67"/>
        <v>Normal</v>
      </c>
      <c r="U497" s="2" t="str">
        <f t="shared" si="68"/>
        <v>No</v>
      </c>
      <c r="V497" s="2" t="str">
        <f t="shared" si="69"/>
        <v>No</v>
      </c>
      <c r="W497" s="2" t="str">
        <f t="shared" si="70"/>
        <v>Regular</v>
      </c>
      <c r="X497" s="2" t="str">
        <f t="shared" si="71"/>
        <v>Discounted Bulk</v>
      </c>
    </row>
    <row r="498" spans="1:24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17</v>
      </c>
      <c r="F498" s="2" t="s">
        <v>30</v>
      </c>
      <c r="G498" s="2" t="s">
        <v>25</v>
      </c>
      <c r="H498" s="2" t="s">
        <v>43</v>
      </c>
      <c r="I498" s="2" t="s">
        <v>32</v>
      </c>
      <c r="J498" s="2" t="s">
        <v>40</v>
      </c>
      <c r="K498" s="2" t="s">
        <v>22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63"/>
        <v>6437.75</v>
      </c>
      <c r="Q498" s="2" t="str">
        <f t="shared" si="64"/>
        <v>No</v>
      </c>
      <c r="R498" s="2" t="str">
        <f t="shared" si="65"/>
        <v>No</v>
      </c>
      <c r="S498" s="2" t="str">
        <f t="shared" si="66"/>
        <v>Yes</v>
      </c>
      <c r="T498" s="2" t="str">
        <f t="shared" si="67"/>
        <v>Normal</v>
      </c>
      <c r="U498" s="2" t="str">
        <f t="shared" si="68"/>
        <v>Yes</v>
      </c>
      <c r="V498" s="2" t="str">
        <f t="shared" si="69"/>
        <v>Yes</v>
      </c>
      <c r="W498" s="2" t="str">
        <f t="shared" si="70"/>
        <v>Regular</v>
      </c>
      <c r="X498" s="2" t="str">
        <f t="shared" si="71"/>
        <v>Discounted Bulk</v>
      </c>
    </row>
    <row r="499" spans="1:24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47</v>
      </c>
      <c r="F499" s="2" t="s">
        <v>17</v>
      </c>
      <c r="G499" s="2" t="s">
        <v>31</v>
      </c>
      <c r="H499" s="2" t="s">
        <v>19</v>
      </c>
      <c r="I499" s="2" t="s">
        <v>27</v>
      </c>
      <c r="J499" s="2" t="s">
        <v>37</v>
      </c>
      <c r="K499" s="2" t="s">
        <v>29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63"/>
        <v>19713.509999999998</v>
      </c>
      <c r="Q499" s="2" t="str">
        <f t="shared" si="64"/>
        <v>Yes</v>
      </c>
      <c r="R499" s="2" t="str">
        <f t="shared" si="65"/>
        <v>Yes</v>
      </c>
      <c r="S499" s="2" t="str">
        <f t="shared" si="66"/>
        <v>No</v>
      </c>
      <c r="T499" s="2" t="str">
        <f t="shared" si="67"/>
        <v>Normal</v>
      </c>
      <c r="U499" s="2" t="str">
        <f t="shared" si="68"/>
        <v>No</v>
      </c>
      <c r="V499" s="2" t="str">
        <f t="shared" si="69"/>
        <v>No</v>
      </c>
      <c r="W499" s="2" t="str">
        <f t="shared" si="70"/>
        <v>Regular</v>
      </c>
      <c r="X499" s="2" t="str">
        <f t="shared" si="71"/>
        <v>Non Discounted Bulk</v>
      </c>
    </row>
    <row r="500" spans="1:24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38</v>
      </c>
      <c r="F500" s="2" t="s">
        <v>39</v>
      </c>
      <c r="G500" s="2" t="s">
        <v>25</v>
      </c>
      <c r="H500" s="2" t="s">
        <v>19</v>
      </c>
      <c r="I500" s="2" t="s">
        <v>53</v>
      </c>
      <c r="J500" s="2" t="s">
        <v>61</v>
      </c>
      <c r="K500" s="2" t="s">
        <v>29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63"/>
        <v>5523.62</v>
      </c>
      <c r="Q500" s="2" t="str">
        <f t="shared" si="64"/>
        <v>No</v>
      </c>
      <c r="R500" s="2" t="str">
        <f t="shared" si="65"/>
        <v>No</v>
      </c>
      <c r="S500" s="2" t="str">
        <f t="shared" si="66"/>
        <v>Yes</v>
      </c>
      <c r="T500" s="2" t="str">
        <f t="shared" si="67"/>
        <v>Normal</v>
      </c>
      <c r="U500" s="2" t="str">
        <f t="shared" si="68"/>
        <v>Yes</v>
      </c>
      <c r="V500" s="2" t="str">
        <f t="shared" si="69"/>
        <v>Yes</v>
      </c>
      <c r="W500" s="2" t="str">
        <f t="shared" si="70"/>
        <v>Regular</v>
      </c>
      <c r="X500" s="2" t="str">
        <f t="shared" si="71"/>
        <v>Discounted Bulk</v>
      </c>
    </row>
    <row r="501" spans="1:24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16</v>
      </c>
      <c r="F501" s="2" t="s">
        <v>17</v>
      </c>
      <c r="G501" s="2" t="s">
        <v>31</v>
      </c>
      <c r="H501" s="2" t="s">
        <v>43</v>
      </c>
      <c r="I501" s="2" t="s">
        <v>32</v>
      </c>
      <c r="J501" s="2" t="s">
        <v>66</v>
      </c>
      <c r="K501" s="2" t="s">
        <v>34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63"/>
        <v>2432.17</v>
      </c>
      <c r="Q501" s="2" t="str">
        <f t="shared" si="64"/>
        <v>No</v>
      </c>
      <c r="R501" s="2" t="str">
        <f t="shared" si="65"/>
        <v>No</v>
      </c>
      <c r="S501" s="2" t="str">
        <f t="shared" si="66"/>
        <v>No</v>
      </c>
      <c r="T501" s="2" t="str">
        <f t="shared" si="67"/>
        <v>Normal</v>
      </c>
      <c r="U501" s="2" t="str">
        <f t="shared" si="68"/>
        <v>No</v>
      </c>
      <c r="V501" s="2" t="str">
        <f t="shared" si="69"/>
        <v>No</v>
      </c>
      <c r="W501" s="2" t="str">
        <f t="shared" si="70"/>
        <v>Regular</v>
      </c>
      <c r="X501" s="2" t="str">
        <f t="shared" si="71"/>
        <v>Discounted Bulk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2026-09-30T05:20:19Z</dcterms:created>
  <dcterms:modified xsi:type="dcterms:W3CDTF">2026-09-30T06:35:29Z</dcterms:modified>
</cp:coreProperties>
</file>