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13_ncr:1_{66C21C89-7E29-430D-A313-8E9D6945BC7E}" xr6:coauthVersionLast="47" xr6:coauthVersionMax="47" xr10:uidLastSave="{00000000-0000-0000-0000-000000000000}"/>
  <bookViews>
    <workbookView xWindow="-108" yWindow="-108" windowWidth="23256" windowHeight="12456" xr2:uid="{B275022F-1C1C-4C40-87FB-494BA723265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8" i="1" l="1" a="1"/>
  <c r="S48" i="1"/>
  <c r="W48" i="1"/>
  <c r="S52" i="1"/>
  <c r="T30" i="1"/>
  <c r="T62" i="1"/>
  <c r="S57" i="1"/>
  <c r="S46" i="1"/>
  <c r="S4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  <c r="T25" i="1"/>
  <c r="S20" i="1"/>
  <c r="S12" i="1"/>
  <c r="S7" i="1"/>
  <c r="S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<sst xmlns="http://schemas.openxmlformats.org/spreadsheetml/2006/main" count="3574" uniqueCount="82">
  <si>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</si>
  <si>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</si>
  <si>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</si>
  <si>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</si>
  <si>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</si>
  <si>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</si>
  <si>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</si>
  <si>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</si>
  <si>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</si>
  <si>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</si>
  <si>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</si>
  <si>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</si>
  <si>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</si>
  <si>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</si>
  <si>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</si>
  <si>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</si>
  <si>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</si>
  <si>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</si>
  <si>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</si>
  <si>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</si>
  <si>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</si>
  <si>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</si>
  <si>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</si>
  <si>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</si>
  <si>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</si>
  <si>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</si>
  <si>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</si>
  <si>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</si>
  <si>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</si>
  <si>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</si>
  <si>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</si>
  <si>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</si>
  <si>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</si>
  <si>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</si>
  <si>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</si>
  <si>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</si>
  <si>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</si>
  <si>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</si>
  <si>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</si>
  <si>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</si>
  <si>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</si>
  <si>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</si>
  <si>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</si>
  <si>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</si>
  <si>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</si>
  <si>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</si>
  <si>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</si>
  <si>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</si>
  <si>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</si>
  <si>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</si>
  <si>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</si>
  <si>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</si>
  <si>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</si>
  <si>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</si>
  <si>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</si>
  <si>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</si>
  <si>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</si>
  <si>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</si>
  <si>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</si>
  <si>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</si>
  <si>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</si>
  <si>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</si>
  <si>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</si>
  <si>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</si>
  <si>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</si>
  <si>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</si>
  <si>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</si>
  <si>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</si>
  <si>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</si>
  <si>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</si>
  <si>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Unit Sold</t>
  </si>
  <si>
    <t>Total Unit Price</t>
  </si>
  <si>
    <t>Total Net Sales</t>
  </si>
  <si>
    <t>Total net sales amount for a specific sales channel</t>
  </si>
  <si>
    <t>Grand Total</t>
  </si>
  <si>
    <t>Total Price</t>
  </si>
  <si>
    <t>Total Discount Amount</t>
  </si>
  <si>
    <t>Average net sales for a specific brand</t>
  </si>
  <si>
    <t>Average Net Sales</t>
  </si>
  <si>
    <t>Average net sales for a specific brand sold through a specific sales channel</t>
  </si>
  <si>
    <t>m</t>
  </si>
  <si>
    <t>Total net sales amount for a specific payment method and for a specific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</si>
</sst>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0" fillId="0" borderId="2" xfId="0" applyBorder="1"/>
    <xf numFmtId="0" fontId="1" fillId="0" borderId="0" xfId="0" applyFont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W501"/>
  <sheetViews>
    <sheetView tabSelected="1" topLeftCell="I1" zoomScale="93" workbookViewId="0">
      <selection activeCell="W48" sqref="W48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  <col min="15" max="15" width="9" bestFit="1" customWidth="1"/>
    <col min="16" max="16" width="9.88671875" style="8" bestFit="1" customWidth="1"/>
    <col min="17" max="17" width="9.88671875" customWidth="1"/>
    <col min="18" max="18" width="21.6640625" customWidth="1"/>
    <col min="19" max="19" width="25.109375" customWidth="1"/>
    <col min="20" max="20" width="22" customWidth="1"/>
    <col min="21" max="21" width="15.77734375" bestFit="1" customWidth="1"/>
    <col min="23" max="23" width="16" bestFit="1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3" t="s">
        <v>75</v>
      </c>
      <c r="Q1" s="4"/>
    </row>
    <row r="2" spans="1:22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6">
        <v>19907.09</v>
      </c>
      <c r="P2" s="1">
        <f>L2*M2</f>
        <v>19907.09</v>
      </c>
    </row>
    <row r="3" spans="1:22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6">
        <v>21590.720000000001</v>
      </c>
      <c r="P3" s="1">
        <f t="shared" ref="P3:P66" si="0">L3*M3</f>
        <v>22727.07</v>
      </c>
    </row>
    <row r="4" spans="1:22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6">
        <v>17719.13</v>
      </c>
      <c r="P4" s="1">
        <f t="shared" si="0"/>
        <v>20846.04</v>
      </c>
    </row>
    <row r="5" spans="1:22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6">
        <v>857.47</v>
      </c>
      <c r="P5" s="1">
        <f t="shared" si="0"/>
        <v>1008.79</v>
      </c>
      <c r="R5" s="4" t="s">
        <v>70</v>
      </c>
      <c r="S5">
        <f>SUM(L2:L501)</f>
        <v>2553</v>
      </c>
    </row>
    <row r="6" spans="1:22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6">
        <v>19664.23</v>
      </c>
      <c r="P6" s="1">
        <f t="shared" si="0"/>
        <v>24580.289999999997</v>
      </c>
    </row>
    <row r="7" spans="1:22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6">
        <v>8611.7800000000007</v>
      </c>
      <c r="P7" s="1">
        <f t="shared" si="0"/>
        <v>9568.6500000000015</v>
      </c>
      <c r="R7" s="4" t="s">
        <v>71</v>
      </c>
      <c r="S7">
        <f>SUM(M2:M501)</f>
        <v>1001665.78</v>
      </c>
    </row>
    <row r="8" spans="1:22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6">
        <v>13636.89</v>
      </c>
      <c r="P8" s="1">
        <f t="shared" si="0"/>
        <v>15152.1</v>
      </c>
      <c r="U8" s="3" t="s">
        <v>8</v>
      </c>
    </row>
    <row r="9" spans="1:22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6">
        <v>8318.99</v>
      </c>
      <c r="P9" s="1">
        <f t="shared" si="0"/>
        <v>9243.32</v>
      </c>
      <c r="U9" s="1" t="s">
        <v>19</v>
      </c>
    </row>
    <row r="10" spans="1:22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6">
        <v>4666.67</v>
      </c>
      <c r="P10" s="1">
        <f t="shared" si="0"/>
        <v>5490.2</v>
      </c>
      <c r="U10" s="1" t="s">
        <v>26</v>
      </c>
    </row>
    <row r="11" spans="1:22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6">
        <v>7122.64</v>
      </c>
      <c r="P11" s="1">
        <f t="shared" si="0"/>
        <v>8903.3000000000011</v>
      </c>
      <c r="R11" s="4" t="s">
        <v>8</v>
      </c>
      <c r="S11" s="4" t="s">
        <v>70</v>
      </c>
      <c r="T11" s="4"/>
      <c r="U11" s="1" t="s">
        <v>31</v>
      </c>
      <c r="V11" s="4"/>
    </row>
    <row r="12" spans="1:22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6">
        <v>19231.5</v>
      </c>
      <c r="P12" s="1">
        <f t="shared" si="0"/>
        <v>19231.5</v>
      </c>
      <c r="R12" t="s">
        <v>57</v>
      </c>
      <c r="S12">
        <f>SUMIF(I2:I501, R12, L2:L501)</f>
        <v>452</v>
      </c>
      <c r="U12" s="1" t="s">
        <v>49</v>
      </c>
    </row>
    <row r="13" spans="1:22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6">
        <v>1552.39</v>
      </c>
      <c r="P13" s="1">
        <f t="shared" si="0"/>
        <v>1634.1000000000001</v>
      </c>
      <c r="U13" s="1" t="s">
        <v>52</v>
      </c>
    </row>
    <row r="14" spans="1:22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6">
        <v>25287.200000000001</v>
      </c>
      <c r="P14" s="1">
        <f t="shared" si="0"/>
        <v>25287.200000000001</v>
      </c>
      <c r="U14" s="1" t="s">
        <v>57</v>
      </c>
    </row>
    <row r="15" spans="1:22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6">
        <v>7305.04</v>
      </c>
      <c r="P15" s="1">
        <f t="shared" si="0"/>
        <v>8594.16</v>
      </c>
    </row>
    <row r="16" spans="1:22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6">
        <v>5715.28</v>
      </c>
      <c r="P16" s="1">
        <f t="shared" si="0"/>
        <v>6350.31</v>
      </c>
    </row>
    <row r="17" spans="1:23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6">
        <v>4525.42</v>
      </c>
      <c r="P17" s="1">
        <f t="shared" si="0"/>
        <v>4763.6000000000004</v>
      </c>
      <c r="U17" s="3" t="s">
        <v>6</v>
      </c>
    </row>
    <row r="18" spans="1:23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6">
        <v>433.35</v>
      </c>
      <c r="P18" s="1">
        <f t="shared" si="0"/>
        <v>509.82</v>
      </c>
      <c r="R18" s="7" t="s">
        <v>73</v>
      </c>
      <c r="S18" s="7"/>
      <c r="U18" s="1" t="s">
        <v>17</v>
      </c>
    </row>
    <row r="19" spans="1:23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6">
        <v>1840.94</v>
      </c>
      <c r="P19" s="1">
        <f t="shared" si="0"/>
        <v>2165.81</v>
      </c>
      <c r="R19" s="4" t="s">
        <v>6</v>
      </c>
      <c r="S19" s="4" t="s">
        <v>72</v>
      </c>
      <c r="U19" s="1" t="s">
        <v>24</v>
      </c>
    </row>
    <row r="20" spans="1:23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6">
        <v>1683.51</v>
      </c>
      <c r="P20" s="1">
        <f t="shared" si="0"/>
        <v>1980.6</v>
      </c>
      <c r="R20" t="s">
        <v>24</v>
      </c>
      <c r="S20">
        <f>SUMIF(G2:G501,R20,O2:O501)</f>
        <v>1583179.9400000002</v>
      </c>
      <c r="U20" s="1" t="s">
        <v>30</v>
      </c>
    </row>
    <row r="21" spans="1:23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6">
        <v>7522.69</v>
      </c>
      <c r="P21" s="1">
        <f t="shared" si="0"/>
        <v>7918.62</v>
      </c>
    </row>
    <row r="22" spans="1:23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6">
        <v>6730.5</v>
      </c>
      <c r="P22" s="1">
        <f t="shared" si="0"/>
        <v>7084.74</v>
      </c>
    </row>
    <row r="23" spans="1:23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6">
        <v>3812.82</v>
      </c>
      <c r="P23" s="1">
        <f t="shared" si="0"/>
        <v>4766.0200000000004</v>
      </c>
    </row>
    <row r="24" spans="1:23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6">
        <v>4482.78</v>
      </c>
      <c r="P24" s="1">
        <f t="shared" si="0"/>
        <v>5603.48</v>
      </c>
      <c r="R24" s="4" t="s">
        <v>6</v>
      </c>
      <c r="S24" s="4" t="s">
        <v>8</v>
      </c>
      <c r="T24" s="4" t="s">
        <v>70</v>
      </c>
    </row>
    <row r="25" spans="1:23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6">
        <v>3606.31</v>
      </c>
      <c r="P25" s="1">
        <f t="shared" si="0"/>
        <v>3606.31</v>
      </c>
      <c r="R25" t="s">
        <v>17</v>
      </c>
      <c r="S25" t="s">
        <v>26</v>
      </c>
      <c r="T25">
        <f>SUMIFS(L2:L501, G2:G501, R25,I2:I501, S25)</f>
        <v>134</v>
      </c>
    </row>
    <row r="26" spans="1:23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6">
        <v>17207.96</v>
      </c>
      <c r="P26" s="1">
        <f t="shared" si="0"/>
        <v>18113.64</v>
      </c>
    </row>
    <row r="27" spans="1:23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6">
        <v>3798.68</v>
      </c>
      <c r="P27" s="1">
        <f t="shared" si="0"/>
        <v>3998.61</v>
      </c>
    </row>
    <row r="28" spans="1:23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6">
        <v>10257.58</v>
      </c>
      <c r="P28" s="1">
        <f t="shared" si="0"/>
        <v>10797.45</v>
      </c>
      <c r="R28" s="7" t="s">
        <v>81</v>
      </c>
      <c r="S28" s="7"/>
      <c r="T28" s="7"/>
    </row>
    <row r="29" spans="1:23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6">
        <v>15391.82</v>
      </c>
      <c r="P29" s="1">
        <f t="shared" si="0"/>
        <v>19239.78</v>
      </c>
      <c r="R29" s="4" t="s">
        <v>7</v>
      </c>
      <c r="S29" s="4" t="s">
        <v>10</v>
      </c>
      <c r="T29" s="4" t="s">
        <v>72</v>
      </c>
      <c r="V29" s="3" t="s">
        <v>10</v>
      </c>
      <c r="W29" s="3" t="s">
        <v>7</v>
      </c>
    </row>
    <row r="30" spans="1:23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6">
        <v>1936.65</v>
      </c>
      <c r="P30" s="1">
        <f t="shared" si="0"/>
        <v>2278.41</v>
      </c>
      <c r="R30" t="s">
        <v>35</v>
      </c>
      <c r="S30" t="s">
        <v>45</v>
      </c>
      <c r="T30">
        <f>SUMIFS(O2:O501,H2:H501,R30,K2:K501,S30)</f>
        <v>209850.88000000006</v>
      </c>
      <c r="V30" s="1" t="s">
        <v>21</v>
      </c>
      <c r="W30" s="1" t="s">
        <v>18</v>
      </c>
    </row>
    <row r="31" spans="1:23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6">
        <v>314.44</v>
      </c>
      <c r="P31" s="1">
        <f t="shared" si="0"/>
        <v>349.38</v>
      </c>
      <c r="V31" s="1" t="s">
        <v>28</v>
      </c>
      <c r="W31" s="1" t="s">
        <v>25</v>
      </c>
    </row>
    <row r="32" spans="1:23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6">
        <v>9182.6</v>
      </c>
      <c r="P32" s="1">
        <f t="shared" si="0"/>
        <v>11478.25</v>
      </c>
      <c r="V32" s="1" t="s">
        <v>33</v>
      </c>
      <c r="W32" s="1" t="s">
        <v>35</v>
      </c>
    </row>
    <row r="33" spans="1:23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6">
        <v>2852.81</v>
      </c>
      <c r="P33" s="1">
        <f t="shared" si="0"/>
        <v>3002.96</v>
      </c>
      <c r="V33" s="1" t="s">
        <v>45</v>
      </c>
      <c r="W33" s="1" t="s">
        <v>42</v>
      </c>
    </row>
    <row r="34" spans="1:23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6">
        <v>18833.810000000001</v>
      </c>
      <c r="P34" s="1">
        <f t="shared" si="0"/>
        <v>23542.26</v>
      </c>
      <c r="V34" s="1" t="s">
        <v>47</v>
      </c>
      <c r="W34" s="1" t="s">
        <v>44</v>
      </c>
    </row>
    <row r="35" spans="1:23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6">
        <v>9177.5400000000009</v>
      </c>
      <c r="P35" s="1">
        <f t="shared" si="0"/>
        <v>9177.5399999999991</v>
      </c>
    </row>
    <row r="36" spans="1:23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6">
        <v>24369.86</v>
      </c>
      <c r="P36" s="1">
        <f t="shared" si="0"/>
        <v>25652.48</v>
      </c>
    </row>
    <row r="37" spans="1:23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6">
        <v>11639.5</v>
      </c>
      <c r="P37" s="1">
        <f t="shared" si="0"/>
        <v>11639.5</v>
      </c>
    </row>
    <row r="38" spans="1:23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6">
        <v>3242.5</v>
      </c>
      <c r="P38" s="1">
        <f t="shared" si="0"/>
        <v>3413.16</v>
      </c>
    </row>
    <row r="39" spans="1:23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6">
        <v>3849.78</v>
      </c>
      <c r="P39" s="1">
        <f t="shared" si="0"/>
        <v>4812.22</v>
      </c>
    </row>
    <row r="40" spans="1:23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6">
        <v>14098.05</v>
      </c>
      <c r="P40" s="1">
        <f t="shared" si="0"/>
        <v>16585.940000000002</v>
      </c>
    </row>
    <row r="41" spans="1:23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6">
        <v>16649.55</v>
      </c>
      <c r="P41" s="1">
        <f t="shared" si="0"/>
        <v>18499.5</v>
      </c>
    </row>
    <row r="42" spans="1:23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6">
        <v>25270.400000000001</v>
      </c>
      <c r="P42" s="1">
        <f t="shared" si="0"/>
        <v>25270.400000000001</v>
      </c>
    </row>
    <row r="43" spans="1:23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6">
        <v>3877.34</v>
      </c>
      <c r="P43" s="1">
        <f t="shared" si="0"/>
        <v>4846.68</v>
      </c>
    </row>
    <row r="44" spans="1:23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6">
        <v>3979.49</v>
      </c>
      <c r="P44" s="1">
        <f t="shared" si="0"/>
        <v>4681.75</v>
      </c>
      <c r="R44" s="4" t="s">
        <v>74</v>
      </c>
      <c r="S44">
        <f>SUM(P2:P501)</f>
        <v>5134263.8099999949</v>
      </c>
    </row>
    <row r="45" spans="1:23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6">
        <v>686.43</v>
      </c>
      <c r="P45" s="1">
        <f t="shared" si="0"/>
        <v>858.04</v>
      </c>
    </row>
    <row r="46" spans="1:23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6">
        <v>2764.92</v>
      </c>
      <c r="P46" s="1">
        <f t="shared" si="0"/>
        <v>2764.92</v>
      </c>
      <c r="R46" s="4" t="s">
        <v>74</v>
      </c>
      <c r="S46">
        <f>SUMPRODUCT(L2:L501,M2:M501)</f>
        <v>5134263.8099999949</v>
      </c>
      <c r="V46">
        <v>5</v>
      </c>
    </row>
    <row r="47" spans="1:23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6">
        <v>3202.49</v>
      </c>
      <c r="P47" s="1">
        <f t="shared" si="0"/>
        <v>3558.32</v>
      </c>
      <c r="V47">
        <v>7</v>
      </c>
    </row>
    <row r="48" spans="1:23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6">
        <v>1415.94</v>
      </c>
      <c r="P48" s="1">
        <f t="shared" si="0"/>
        <v>1769.93</v>
      </c>
      <c r="R48" s="4" t="s">
        <v>76</v>
      </c>
      <c r="S48" cm="1">
        <f t="array" ref="S48">SUMPRODUCT(L2:L501,M2:M501, N2:N501/100)</f>
        <v>519774.77300000016</v>
      </c>
      <c r="V48">
        <v>2</v>
      </c>
      <c r="W48">
        <f>AVERAGEA(V46:V51)</f>
        <v>3</v>
      </c>
    </row>
    <row r="49" spans="1:22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6">
        <v>11715.78</v>
      </c>
      <c r="P49" s="1">
        <f t="shared" si="0"/>
        <v>12332.4</v>
      </c>
      <c r="V49" t="b">
        <v>1</v>
      </c>
    </row>
    <row r="50" spans="1:22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6">
        <v>19165.14</v>
      </c>
      <c r="P50" s="1">
        <f t="shared" si="0"/>
        <v>22547.22</v>
      </c>
      <c r="V50" t="s">
        <v>80</v>
      </c>
    </row>
    <row r="51" spans="1:22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6">
        <v>6482.11</v>
      </c>
      <c r="P51" s="1">
        <f t="shared" si="0"/>
        <v>8102.64</v>
      </c>
      <c r="V51">
        <v>3</v>
      </c>
    </row>
    <row r="52" spans="1:22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6">
        <v>4724.3900000000003</v>
      </c>
      <c r="P52" s="1">
        <f t="shared" si="0"/>
        <v>5558.0999999999995</v>
      </c>
      <c r="R52" s="4" t="s">
        <v>78</v>
      </c>
      <c r="S52">
        <f>AVERAGE(O2:O501)</f>
        <v>9228.9779800000015</v>
      </c>
    </row>
    <row r="53" spans="1:22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6">
        <v>7605.28</v>
      </c>
      <c r="P53" s="1">
        <f t="shared" si="0"/>
        <v>8005.5599999999995</v>
      </c>
    </row>
    <row r="54" spans="1:22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6">
        <v>11403.31</v>
      </c>
      <c r="P54" s="1">
        <f t="shared" si="0"/>
        <v>12670.35</v>
      </c>
    </row>
    <row r="55" spans="1:22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6">
        <v>10286.06</v>
      </c>
      <c r="P55" s="1">
        <f t="shared" si="0"/>
        <v>11428.96</v>
      </c>
      <c r="R55" s="7" t="s">
        <v>77</v>
      </c>
      <c r="S55" s="7"/>
    </row>
    <row r="56" spans="1:22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6">
        <v>7074.06</v>
      </c>
      <c r="P56" s="1">
        <f t="shared" si="0"/>
        <v>7446.38</v>
      </c>
      <c r="R56" s="4" t="s">
        <v>10</v>
      </c>
      <c r="S56" s="4" t="s">
        <v>78</v>
      </c>
    </row>
    <row r="57" spans="1:22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6">
        <v>17353.87</v>
      </c>
      <c r="P57" s="1">
        <f t="shared" si="0"/>
        <v>20416.32</v>
      </c>
      <c r="R57" t="s">
        <v>45</v>
      </c>
      <c r="S57">
        <f>AVERAGEIF(K2:K501,R57,O2:O501)</f>
        <v>7716.5307692307724</v>
      </c>
    </row>
    <row r="58" spans="1:22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6">
        <v>7288.78</v>
      </c>
      <c r="P58" s="1">
        <f t="shared" si="0"/>
        <v>9110.9700000000012</v>
      </c>
    </row>
    <row r="59" spans="1:22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6">
        <v>8137.32</v>
      </c>
      <c r="P59" s="1">
        <f t="shared" si="0"/>
        <v>8565.6</v>
      </c>
    </row>
    <row r="60" spans="1:22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6">
        <v>16978.88</v>
      </c>
      <c r="P60" s="1">
        <f t="shared" si="0"/>
        <v>16978.88</v>
      </c>
      <c r="R60" s="7" t="s">
        <v>79</v>
      </c>
      <c r="S60" s="7"/>
      <c r="T60" s="7"/>
    </row>
    <row r="61" spans="1:22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6">
        <v>21272.1</v>
      </c>
      <c r="P61" s="1">
        <f t="shared" si="0"/>
        <v>25026</v>
      </c>
      <c r="R61" s="4" t="s">
        <v>10</v>
      </c>
      <c r="S61" s="4" t="s">
        <v>6</v>
      </c>
      <c r="T61" s="4" t="s">
        <v>78</v>
      </c>
    </row>
    <row r="62" spans="1:22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6">
        <v>2013.23</v>
      </c>
      <c r="P62" s="1">
        <f t="shared" si="0"/>
        <v>2236.92</v>
      </c>
      <c r="R62" t="s">
        <v>45</v>
      </c>
      <c r="S62" t="s">
        <v>24</v>
      </c>
      <c r="T62">
        <f>AVERAGEIFS(O2:O501,K2:K501,R62,G2:G501,S62)</f>
        <v>7414.8812500000013</v>
      </c>
    </row>
    <row r="63" spans="1:22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6">
        <v>21426.98</v>
      </c>
      <c r="P63" s="1">
        <f t="shared" si="0"/>
        <v>22554.720000000001</v>
      </c>
    </row>
    <row r="64" spans="1:22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6">
        <v>14286.83</v>
      </c>
      <c r="P64" s="1">
        <f t="shared" si="0"/>
        <v>15874.26</v>
      </c>
    </row>
    <row r="65" spans="1:16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6">
        <v>1770.04</v>
      </c>
      <c r="P65" s="1">
        <f t="shared" si="0"/>
        <v>2082.4</v>
      </c>
    </row>
    <row r="66" spans="1:16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6">
        <v>4991.78</v>
      </c>
      <c r="P66" s="1">
        <f t="shared" si="0"/>
        <v>5546.42</v>
      </c>
    </row>
    <row r="67" spans="1:16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6">
        <v>28649.8</v>
      </c>
      <c r="P67" s="1">
        <f t="shared" ref="P67:P130" si="1">L67*M67</f>
        <v>30157.68</v>
      </c>
    </row>
    <row r="68" spans="1:16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6">
        <v>280.61</v>
      </c>
      <c r="P68" s="1">
        <f t="shared" si="1"/>
        <v>330.13</v>
      </c>
    </row>
    <row r="69" spans="1:16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6">
        <v>8283.9599999999991</v>
      </c>
      <c r="P69" s="1">
        <f t="shared" si="1"/>
        <v>8283.9600000000009</v>
      </c>
    </row>
    <row r="70" spans="1:16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6">
        <v>10470.790000000001</v>
      </c>
      <c r="P70" s="1">
        <f t="shared" si="1"/>
        <v>11021.880000000001</v>
      </c>
    </row>
    <row r="71" spans="1:16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6">
        <v>11558.88</v>
      </c>
      <c r="P71" s="1">
        <f t="shared" si="1"/>
        <v>14448.6</v>
      </c>
    </row>
    <row r="72" spans="1:16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6">
        <v>10985.92</v>
      </c>
      <c r="P72" s="1">
        <f t="shared" si="1"/>
        <v>11564.130000000001</v>
      </c>
    </row>
    <row r="73" spans="1:16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6">
        <v>4742.59</v>
      </c>
      <c r="P73" s="1">
        <f t="shared" si="1"/>
        <v>5579.5199999999995</v>
      </c>
    </row>
    <row r="74" spans="1:16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6">
        <v>2885.73</v>
      </c>
      <c r="P74" s="1">
        <f t="shared" si="1"/>
        <v>3037.61</v>
      </c>
    </row>
    <row r="75" spans="1:16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6">
        <v>6590.67</v>
      </c>
      <c r="P75" s="1">
        <f t="shared" si="1"/>
        <v>6590.67</v>
      </c>
    </row>
    <row r="76" spans="1:16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6">
        <v>8881.84</v>
      </c>
      <c r="P76" s="1">
        <f t="shared" si="1"/>
        <v>8881.84</v>
      </c>
    </row>
    <row r="77" spans="1:16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6">
        <v>4882.72</v>
      </c>
      <c r="P77" s="1">
        <f t="shared" si="1"/>
        <v>6103.4000000000005</v>
      </c>
    </row>
    <row r="78" spans="1:16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6">
        <v>2660.26</v>
      </c>
      <c r="P78" s="1">
        <f t="shared" si="1"/>
        <v>2955.84</v>
      </c>
    </row>
    <row r="79" spans="1:16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6">
        <v>6419.98</v>
      </c>
      <c r="P79" s="1">
        <f t="shared" si="1"/>
        <v>7552.92</v>
      </c>
    </row>
    <row r="80" spans="1:16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6">
        <v>9740.4</v>
      </c>
      <c r="P80" s="1">
        <f t="shared" si="1"/>
        <v>11459.300000000001</v>
      </c>
    </row>
    <row r="81" spans="1:16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6">
        <v>708.07</v>
      </c>
      <c r="P81" s="1">
        <f t="shared" si="1"/>
        <v>786.75</v>
      </c>
    </row>
    <row r="82" spans="1:16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6">
        <v>21857.46</v>
      </c>
      <c r="P82" s="1">
        <f t="shared" si="1"/>
        <v>21857.46</v>
      </c>
    </row>
    <row r="83" spans="1:16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6">
        <v>4510.1400000000003</v>
      </c>
      <c r="P83" s="1">
        <f t="shared" si="1"/>
        <v>4510.1400000000003</v>
      </c>
    </row>
    <row r="84" spans="1:16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6">
        <v>7579.78</v>
      </c>
      <c r="P84" s="1">
        <f t="shared" si="1"/>
        <v>7978.72</v>
      </c>
    </row>
    <row r="85" spans="1:16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6">
        <v>3432.58</v>
      </c>
      <c r="P85" s="1">
        <f t="shared" si="1"/>
        <v>4290.72</v>
      </c>
    </row>
    <row r="86" spans="1:16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6">
        <v>2307.15</v>
      </c>
      <c r="P86" s="1">
        <f t="shared" si="1"/>
        <v>2883.94</v>
      </c>
    </row>
    <row r="87" spans="1:16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6">
        <v>1659.39</v>
      </c>
      <c r="P87" s="1">
        <f t="shared" si="1"/>
        <v>2074.2399999999998</v>
      </c>
    </row>
    <row r="88" spans="1:16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6">
        <v>9131.25</v>
      </c>
      <c r="P88" s="1">
        <f t="shared" si="1"/>
        <v>9611.84</v>
      </c>
    </row>
    <row r="89" spans="1:16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6">
        <v>9310.56</v>
      </c>
      <c r="P89" s="1">
        <f t="shared" si="1"/>
        <v>11638.2</v>
      </c>
    </row>
    <row r="90" spans="1:16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6">
        <v>3132.05</v>
      </c>
      <c r="P90" s="1">
        <f t="shared" si="1"/>
        <v>3480.06</v>
      </c>
    </row>
    <row r="91" spans="1:16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6">
        <v>6437.39</v>
      </c>
      <c r="P91" s="1">
        <f t="shared" si="1"/>
        <v>6776.2</v>
      </c>
    </row>
    <row r="92" spans="1:16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6">
        <v>15167.34</v>
      </c>
      <c r="P92" s="1">
        <f t="shared" si="1"/>
        <v>16852.599999999999</v>
      </c>
    </row>
    <row r="93" spans="1:16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6">
        <v>978.49</v>
      </c>
      <c r="P93" s="1">
        <f t="shared" si="1"/>
        <v>1029.99</v>
      </c>
    </row>
    <row r="94" spans="1:16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6">
        <v>13959.07</v>
      </c>
      <c r="P94" s="1">
        <f t="shared" si="1"/>
        <v>17448.84</v>
      </c>
    </row>
    <row r="95" spans="1:16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6">
        <v>5801.47</v>
      </c>
      <c r="P95" s="1">
        <f t="shared" si="1"/>
        <v>6446.08</v>
      </c>
    </row>
    <row r="96" spans="1:16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6">
        <v>3695.92</v>
      </c>
      <c r="P96" s="1">
        <f t="shared" si="1"/>
        <v>4106.58</v>
      </c>
    </row>
    <row r="97" spans="1:16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6">
        <v>2249.89</v>
      </c>
      <c r="P97" s="1">
        <f t="shared" si="1"/>
        <v>2499.88</v>
      </c>
    </row>
    <row r="98" spans="1:16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6">
        <v>4290.3</v>
      </c>
      <c r="P98" s="1">
        <f t="shared" si="1"/>
        <v>4516.1100000000006</v>
      </c>
    </row>
    <row r="99" spans="1:16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6">
        <v>4631.07</v>
      </c>
      <c r="P99" s="1">
        <f t="shared" si="1"/>
        <v>5448.32</v>
      </c>
    </row>
    <row r="100" spans="1:16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6">
        <v>757.8</v>
      </c>
      <c r="P100" s="1">
        <f t="shared" si="1"/>
        <v>947.25</v>
      </c>
    </row>
    <row r="101" spans="1:16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6">
        <v>19887.27</v>
      </c>
      <c r="P101" s="1">
        <f t="shared" si="1"/>
        <v>22096.97</v>
      </c>
    </row>
    <row r="102" spans="1:16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6">
        <v>11445.62</v>
      </c>
      <c r="P102" s="1">
        <f t="shared" si="1"/>
        <v>13465.44</v>
      </c>
    </row>
    <row r="103" spans="1:16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6">
        <v>2974.45</v>
      </c>
      <c r="P103" s="1">
        <f t="shared" si="1"/>
        <v>3718.06</v>
      </c>
    </row>
    <row r="104" spans="1:16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6">
        <v>20105.900000000001</v>
      </c>
      <c r="P104" s="1">
        <f t="shared" si="1"/>
        <v>25132.38</v>
      </c>
    </row>
    <row r="105" spans="1:16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6">
        <v>12075.79</v>
      </c>
      <c r="P105" s="1">
        <f t="shared" si="1"/>
        <v>13417.550000000001</v>
      </c>
    </row>
    <row r="106" spans="1:16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6">
        <v>814.63</v>
      </c>
      <c r="P106" s="1">
        <f t="shared" si="1"/>
        <v>905.15</v>
      </c>
    </row>
    <row r="107" spans="1:16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6">
        <v>10776.48</v>
      </c>
      <c r="P107" s="1">
        <f t="shared" si="1"/>
        <v>11343.66</v>
      </c>
    </row>
    <row r="108" spans="1:16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6">
        <v>4517.79</v>
      </c>
      <c r="P108" s="1">
        <f t="shared" si="1"/>
        <v>5315.05</v>
      </c>
    </row>
    <row r="109" spans="1:16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6">
        <v>959.33</v>
      </c>
      <c r="P109" s="1">
        <f t="shared" si="1"/>
        <v>1128.6199999999999</v>
      </c>
    </row>
    <row r="110" spans="1:16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6">
        <v>11186.24</v>
      </c>
      <c r="P110" s="1">
        <f t="shared" si="1"/>
        <v>12429.16</v>
      </c>
    </row>
    <row r="111" spans="1:16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6">
        <v>9968.83</v>
      </c>
      <c r="P111" s="1">
        <f t="shared" si="1"/>
        <v>12461.04</v>
      </c>
    </row>
    <row r="112" spans="1:16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6">
        <v>1638.02</v>
      </c>
      <c r="P112" s="1">
        <f t="shared" si="1"/>
        <v>1820.02</v>
      </c>
    </row>
    <row r="113" spans="1:16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6">
        <v>3553.89</v>
      </c>
      <c r="P113" s="1">
        <f t="shared" si="1"/>
        <v>4442.3599999999997</v>
      </c>
    </row>
    <row r="114" spans="1:16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6">
        <v>10837.3</v>
      </c>
      <c r="P114" s="1">
        <f t="shared" si="1"/>
        <v>13546.619999999999</v>
      </c>
    </row>
    <row r="115" spans="1:16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6">
        <v>9771.68</v>
      </c>
      <c r="P115" s="1">
        <f t="shared" si="1"/>
        <v>10857.420000000002</v>
      </c>
    </row>
    <row r="116" spans="1:16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6">
        <v>7242.18</v>
      </c>
      <c r="P116" s="1">
        <f t="shared" si="1"/>
        <v>7242.18</v>
      </c>
    </row>
    <row r="117" spans="1:16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6">
        <v>5822.31</v>
      </c>
      <c r="P117" s="1">
        <f t="shared" si="1"/>
        <v>6849.78</v>
      </c>
    </row>
    <row r="118" spans="1:16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6">
        <v>17062.900000000001</v>
      </c>
      <c r="P118" s="1">
        <f t="shared" si="1"/>
        <v>21328.62</v>
      </c>
    </row>
    <row r="119" spans="1:16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6">
        <v>3685.94</v>
      </c>
      <c r="P119" s="1">
        <f t="shared" si="1"/>
        <v>4607.42</v>
      </c>
    </row>
    <row r="120" spans="1:16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6">
        <v>26717.439999999999</v>
      </c>
      <c r="P120" s="1">
        <f t="shared" si="1"/>
        <v>26717.439999999999</v>
      </c>
    </row>
    <row r="121" spans="1:16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6">
        <v>19248.16</v>
      </c>
      <c r="P121" s="1">
        <f t="shared" si="1"/>
        <v>20261.22</v>
      </c>
    </row>
    <row r="122" spans="1:16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6">
        <v>14161.4</v>
      </c>
      <c r="P122" s="1">
        <f t="shared" si="1"/>
        <v>14161.400000000001</v>
      </c>
    </row>
    <row r="123" spans="1:16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6">
        <v>6993.65</v>
      </c>
      <c r="P123" s="1">
        <f t="shared" si="1"/>
        <v>6993.65</v>
      </c>
    </row>
    <row r="124" spans="1:16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6">
        <v>5882.8</v>
      </c>
      <c r="P124" s="1">
        <f t="shared" si="1"/>
        <v>7353.5</v>
      </c>
    </row>
    <row r="125" spans="1:16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6">
        <v>7358.61</v>
      </c>
      <c r="P125" s="1">
        <f t="shared" si="1"/>
        <v>8657.19</v>
      </c>
    </row>
    <row r="126" spans="1:16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6">
        <v>31051.71</v>
      </c>
      <c r="P126" s="1">
        <f t="shared" si="1"/>
        <v>31051.71</v>
      </c>
    </row>
    <row r="127" spans="1:16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6">
        <v>28288.87</v>
      </c>
      <c r="P127" s="1">
        <f t="shared" si="1"/>
        <v>29777.759999999998</v>
      </c>
    </row>
    <row r="128" spans="1:16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6">
        <v>9969.5300000000007</v>
      </c>
      <c r="P128" s="1">
        <f t="shared" si="1"/>
        <v>11077.26</v>
      </c>
    </row>
    <row r="129" spans="1:16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6">
        <v>3958.56</v>
      </c>
      <c r="P129" s="1">
        <f t="shared" si="1"/>
        <v>3958.56</v>
      </c>
    </row>
    <row r="130" spans="1:16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6">
        <v>4865.01</v>
      </c>
      <c r="P130" s="1">
        <f t="shared" si="1"/>
        <v>4865.01</v>
      </c>
    </row>
    <row r="131" spans="1:16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6">
        <v>2407.75</v>
      </c>
      <c r="P131" s="1">
        <f t="shared" ref="P131:P194" si="2">L131*M131</f>
        <v>2534.4699999999998</v>
      </c>
    </row>
    <row r="132" spans="1:16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6">
        <v>11301.73</v>
      </c>
      <c r="P132" s="1">
        <f t="shared" si="2"/>
        <v>13296.15</v>
      </c>
    </row>
    <row r="133" spans="1:16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6">
        <v>12614.92</v>
      </c>
      <c r="P133" s="1">
        <f t="shared" si="2"/>
        <v>12614.92</v>
      </c>
    </row>
    <row r="134" spans="1:16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6">
        <v>3990.85</v>
      </c>
      <c r="P134" s="1">
        <f t="shared" si="2"/>
        <v>3990.85</v>
      </c>
    </row>
    <row r="135" spans="1:16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6">
        <v>6023.85</v>
      </c>
      <c r="P135" s="1">
        <f t="shared" si="2"/>
        <v>7086.88</v>
      </c>
    </row>
    <row r="136" spans="1:16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6">
        <v>10942.06</v>
      </c>
      <c r="P136" s="1">
        <f t="shared" si="2"/>
        <v>11517.960000000001</v>
      </c>
    </row>
    <row r="137" spans="1:16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6">
        <v>10855.74</v>
      </c>
      <c r="P137" s="1">
        <f t="shared" si="2"/>
        <v>10855.74</v>
      </c>
    </row>
    <row r="138" spans="1:16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6">
        <v>2247.91</v>
      </c>
      <c r="P138" s="1">
        <f t="shared" si="2"/>
        <v>2644.6</v>
      </c>
    </row>
    <row r="139" spans="1:16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6">
        <v>912.67</v>
      </c>
      <c r="P139" s="1">
        <f t="shared" si="2"/>
        <v>912.67</v>
      </c>
    </row>
    <row r="140" spans="1:16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6">
        <v>725.24</v>
      </c>
      <c r="P140" s="1">
        <f t="shared" si="2"/>
        <v>805.82</v>
      </c>
    </row>
    <row r="141" spans="1:16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6">
        <v>11409.31</v>
      </c>
      <c r="P141" s="1">
        <f t="shared" si="2"/>
        <v>14261.64</v>
      </c>
    </row>
    <row r="142" spans="1:16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6">
        <v>3179.56</v>
      </c>
      <c r="P142" s="1">
        <f t="shared" si="2"/>
        <v>3532.84</v>
      </c>
    </row>
    <row r="143" spans="1:16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6">
        <v>2063.0500000000002</v>
      </c>
      <c r="P143" s="1">
        <f t="shared" si="2"/>
        <v>2063.0500000000002</v>
      </c>
    </row>
    <row r="144" spans="1:16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6">
        <v>24473.53</v>
      </c>
      <c r="P144" s="1">
        <f t="shared" si="2"/>
        <v>25761.61</v>
      </c>
    </row>
    <row r="145" spans="1:16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6">
        <v>20087.810000000001</v>
      </c>
      <c r="P145" s="1">
        <f t="shared" si="2"/>
        <v>25109.759999999998</v>
      </c>
    </row>
    <row r="146" spans="1:16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6">
        <v>3523.12</v>
      </c>
      <c r="P146" s="1">
        <f t="shared" si="2"/>
        <v>3914.58</v>
      </c>
    </row>
    <row r="147" spans="1:16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6">
        <v>7911.36</v>
      </c>
      <c r="P147" s="1">
        <f t="shared" si="2"/>
        <v>9307.48</v>
      </c>
    </row>
    <row r="148" spans="1:16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6">
        <v>10560.22</v>
      </c>
      <c r="P148" s="1">
        <f t="shared" si="2"/>
        <v>11116.02</v>
      </c>
    </row>
    <row r="149" spans="1:16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6">
        <v>8692</v>
      </c>
      <c r="P149" s="1">
        <f t="shared" si="2"/>
        <v>9657.7800000000007</v>
      </c>
    </row>
    <row r="150" spans="1:16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6">
        <v>19980.439999999999</v>
      </c>
      <c r="P150" s="1">
        <f t="shared" si="2"/>
        <v>23506.400000000001</v>
      </c>
    </row>
    <row r="151" spans="1:16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6">
        <v>5616.12</v>
      </c>
      <c r="P151" s="1">
        <f t="shared" si="2"/>
        <v>5616.12</v>
      </c>
    </row>
    <row r="152" spans="1:16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6">
        <v>6209.68</v>
      </c>
      <c r="P152" s="1">
        <f t="shared" si="2"/>
        <v>7305.5</v>
      </c>
    </row>
    <row r="153" spans="1:16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6">
        <v>2924.2</v>
      </c>
      <c r="P153" s="1">
        <f t="shared" si="2"/>
        <v>3249.11</v>
      </c>
    </row>
    <row r="154" spans="1:16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6">
        <v>1899.23</v>
      </c>
      <c r="P154" s="1">
        <f t="shared" si="2"/>
        <v>2110.2599999999998</v>
      </c>
    </row>
    <row r="155" spans="1:16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6">
        <v>1529.12</v>
      </c>
      <c r="P155" s="1">
        <f t="shared" si="2"/>
        <v>1529.12</v>
      </c>
    </row>
    <row r="156" spans="1:16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6">
        <v>4903.3100000000004</v>
      </c>
      <c r="P156" s="1">
        <f t="shared" si="2"/>
        <v>5768.6</v>
      </c>
    </row>
    <row r="157" spans="1:16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6">
        <v>2273.12</v>
      </c>
      <c r="P157" s="1">
        <f t="shared" si="2"/>
        <v>2674.2599999999998</v>
      </c>
    </row>
    <row r="158" spans="1:16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6">
        <v>8437.84</v>
      </c>
      <c r="P158" s="1">
        <f t="shared" si="2"/>
        <v>8437.84</v>
      </c>
    </row>
    <row r="159" spans="1:16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6">
        <v>22753.34</v>
      </c>
      <c r="P159" s="1">
        <f t="shared" si="2"/>
        <v>26768.639999999999</v>
      </c>
    </row>
    <row r="160" spans="1:16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6">
        <v>22804.62</v>
      </c>
      <c r="P160" s="1">
        <f t="shared" si="2"/>
        <v>22804.62</v>
      </c>
    </row>
    <row r="161" spans="1:16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6">
        <v>5026.34</v>
      </c>
      <c r="P161" s="1">
        <f t="shared" si="2"/>
        <v>5290.88</v>
      </c>
    </row>
    <row r="162" spans="1:16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6">
        <v>8412.41</v>
      </c>
      <c r="P162" s="1">
        <f t="shared" si="2"/>
        <v>9347.1200000000008</v>
      </c>
    </row>
    <row r="163" spans="1:16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6">
        <v>9329.68</v>
      </c>
      <c r="P163" s="1">
        <f t="shared" si="2"/>
        <v>9820.7199999999993</v>
      </c>
    </row>
    <row r="164" spans="1:16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6">
        <v>975.38</v>
      </c>
      <c r="P164" s="1">
        <f t="shared" si="2"/>
        <v>1219.22</v>
      </c>
    </row>
    <row r="165" spans="1:16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6">
        <v>922.66</v>
      </c>
      <c r="P165" s="1">
        <f t="shared" si="2"/>
        <v>1153.32</v>
      </c>
    </row>
    <row r="166" spans="1:16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6">
        <v>11899.62</v>
      </c>
      <c r="P166" s="1">
        <f t="shared" si="2"/>
        <v>14874.52</v>
      </c>
    </row>
    <row r="167" spans="1:16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6">
        <v>6809.18</v>
      </c>
      <c r="P167" s="1">
        <f t="shared" si="2"/>
        <v>6809.18</v>
      </c>
    </row>
    <row r="168" spans="1:16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6">
        <v>10513.77</v>
      </c>
      <c r="P168" s="1">
        <f t="shared" si="2"/>
        <v>12369.14</v>
      </c>
    </row>
    <row r="169" spans="1:16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6">
        <v>1423.4</v>
      </c>
      <c r="P169" s="1">
        <f t="shared" si="2"/>
        <v>1498.32</v>
      </c>
    </row>
    <row r="170" spans="1:16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6">
        <v>16402.37</v>
      </c>
      <c r="P170" s="1">
        <f t="shared" si="2"/>
        <v>17265.650000000001</v>
      </c>
    </row>
    <row r="171" spans="1:16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6">
        <v>19716.98</v>
      </c>
      <c r="P171" s="1">
        <f t="shared" si="2"/>
        <v>20754.72</v>
      </c>
    </row>
    <row r="172" spans="1:16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6">
        <v>28842.080000000002</v>
      </c>
      <c r="P172" s="1">
        <f t="shared" si="2"/>
        <v>30360.080000000002</v>
      </c>
    </row>
    <row r="173" spans="1:16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6">
        <v>22746.38</v>
      </c>
      <c r="P173" s="1">
        <f t="shared" si="2"/>
        <v>28432.98</v>
      </c>
    </row>
    <row r="174" spans="1:16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6">
        <v>3869.64</v>
      </c>
      <c r="P174" s="1">
        <f t="shared" si="2"/>
        <v>4073.31</v>
      </c>
    </row>
    <row r="175" spans="1:16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6">
        <v>2815.99</v>
      </c>
      <c r="P175" s="1">
        <f t="shared" si="2"/>
        <v>3312.93</v>
      </c>
    </row>
    <row r="176" spans="1:16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6">
        <v>9075.8700000000008</v>
      </c>
      <c r="P176" s="1">
        <f t="shared" si="2"/>
        <v>11344.84</v>
      </c>
    </row>
    <row r="177" spans="1:16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6">
        <v>7371.19</v>
      </c>
      <c r="P177" s="1">
        <f t="shared" si="2"/>
        <v>7759.15</v>
      </c>
    </row>
    <row r="178" spans="1:16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6">
        <v>2329.9299999999998</v>
      </c>
      <c r="P178" s="1">
        <f t="shared" si="2"/>
        <v>2329.9299999999998</v>
      </c>
    </row>
    <row r="179" spans="1:16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6">
        <v>1096.77</v>
      </c>
      <c r="P179" s="1">
        <f t="shared" si="2"/>
        <v>1218.6300000000001</v>
      </c>
    </row>
    <row r="180" spans="1:16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6">
        <v>3144.91</v>
      </c>
      <c r="P180" s="1">
        <f t="shared" si="2"/>
        <v>3494.34</v>
      </c>
    </row>
    <row r="181" spans="1:16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6">
        <v>15920.42</v>
      </c>
      <c r="P181" s="1">
        <f t="shared" si="2"/>
        <v>17689.36</v>
      </c>
    </row>
    <row r="182" spans="1:16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6">
        <v>9317.52</v>
      </c>
      <c r="P182" s="1">
        <f t="shared" si="2"/>
        <v>11646.900000000001</v>
      </c>
    </row>
    <row r="183" spans="1:16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6">
        <v>11563.74</v>
      </c>
      <c r="P183" s="1">
        <f t="shared" si="2"/>
        <v>12172.36</v>
      </c>
    </row>
    <row r="184" spans="1:16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6">
        <v>3685.19</v>
      </c>
      <c r="P184" s="1">
        <f t="shared" si="2"/>
        <v>4606.4900000000007</v>
      </c>
    </row>
    <row r="185" spans="1:16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6">
        <v>9034.44</v>
      </c>
      <c r="P185" s="1">
        <f t="shared" si="2"/>
        <v>10628.75</v>
      </c>
    </row>
    <row r="186" spans="1:16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6">
        <v>6290.34</v>
      </c>
      <c r="P186" s="1">
        <f t="shared" si="2"/>
        <v>6290.34</v>
      </c>
    </row>
    <row r="187" spans="1:16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6">
        <v>508.81</v>
      </c>
      <c r="P187" s="1">
        <f t="shared" si="2"/>
        <v>508.81</v>
      </c>
    </row>
    <row r="188" spans="1:16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6">
        <v>1557.37</v>
      </c>
      <c r="P188" s="1">
        <f t="shared" si="2"/>
        <v>1730.41</v>
      </c>
    </row>
    <row r="189" spans="1:16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6">
        <v>2102.89</v>
      </c>
      <c r="P189" s="1">
        <f t="shared" si="2"/>
        <v>2336.5500000000002</v>
      </c>
    </row>
    <row r="190" spans="1:16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6">
        <v>1806.95</v>
      </c>
      <c r="P190" s="1">
        <f t="shared" si="2"/>
        <v>2007.72</v>
      </c>
    </row>
    <row r="191" spans="1:16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6">
        <v>2607.92</v>
      </c>
      <c r="P191" s="1">
        <f t="shared" si="2"/>
        <v>2745.18</v>
      </c>
    </row>
    <row r="192" spans="1:16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6">
        <v>6834.47</v>
      </c>
      <c r="P192" s="1">
        <f t="shared" si="2"/>
        <v>8040.5500000000011</v>
      </c>
    </row>
    <row r="193" spans="1:16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6">
        <v>828.29</v>
      </c>
      <c r="P193" s="1">
        <f t="shared" si="2"/>
        <v>974.46</v>
      </c>
    </row>
    <row r="194" spans="1:16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6">
        <v>1687.01</v>
      </c>
      <c r="P194" s="1">
        <f t="shared" si="2"/>
        <v>1984.72</v>
      </c>
    </row>
    <row r="195" spans="1:16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6">
        <v>1519.82</v>
      </c>
      <c r="P195" s="1">
        <f t="shared" ref="P195:P258" si="3">L195*M195</f>
        <v>1788.02</v>
      </c>
    </row>
    <row r="196" spans="1:16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6">
        <v>1861.11</v>
      </c>
      <c r="P196" s="1">
        <f t="shared" si="3"/>
        <v>2067.8999999999996</v>
      </c>
    </row>
    <row r="197" spans="1:16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6">
        <v>20494.88</v>
      </c>
      <c r="P197" s="1">
        <f t="shared" si="3"/>
        <v>20494.88</v>
      </c>
    </row>
    <row r="198" spans="1:16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6">
        <v>4522.3599999999997</v>
      </c>
      <c r="P198" s="1">
        <f t="shared" si="3"/>
        <v>5024.84</v>
      </c>
    </row>
    <row r="199" spans="1:16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6">
        <v>5214.84</v>
      </c>
      <c r="P199" s="1">
        <f t="shared" si="3"/>
        <v>6135.1</v>
      </c>
    </row>
    <row r="200" spans="1:16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6">
        <v>5141.4799999999996</v>
      </c>
      <c r="P200" s="1">
        <f t="shared" si="3"/>
        <v>5712.76</v>
      </c>
    </row>
    <row r="201" spans="1:16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6">
        <v>6889.51</v>
      </c>
      <c r="P201" s="1">
        <f t="shared" si="3"/>
        <v>8105.3099999999995</v>
      </c>
    </row>
    <row r="202" spans="1:16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6">
        <v>14007.76</v>
      </c>
      <c r="P202" s="1">
        <f t="shared" si="3"/>
        <v>17509.7</v>
      </c>
    </row>
    <row r="203" spans="1:16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6">
        <v>27652.32</v>
      </c>
      <c r="P203" s="1">
        <f t="shared" si="3"/>
        <v>27652.32</v>
      </c>
    </row>
    <row r="204" spans="1:16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6">
        <v>18886.34</v>
      </c>
      <c r="P204" s="1">
        <f t="shared" si="3"/>
        <v>23607.919999999998</v>
      </c>
    </row>
    <row r="205" spans="1:16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6">
        <v>15313.32</v>
      </c>
      <c r="P205" s="1">
        <f t="shared" si="3"/>
        <v>16119.28</v>
      </c>
    </row>
    <row r="206" spans="1:16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6">
        <v>20312.28</v>
      </c>
      <c r="P206" s="1">
        <f t="shared" si="3"/>
        <v>22569.200000000001</v>
      </c>
    </row>
    <row r="207" spans="1:16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6">
        <v>17313.86</v>
      </c>
      <c r="P207" s="1">
        <f t="shared" si="3"/>
        <v>18225.12</v>
      </c>
    </row>
    <row r="208" spans="1:16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6">
        <v>6190.13</v>
      </c>
      <c r="P208" s="1">
        <f t="shared" si="3"/>
        <v>6877.92</v>
      </c>
    </row>
    <row r="209" spans="1:16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6">
        <v>6099.65</v>
      </c>
      <c r="P209" s="1">
        <f t="shared" si="3"/>
        <v>7624.56</v>
      </c>
    </row>
    <row r="210" spans="1:16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6">
        <v>8779.5499999999993</v>
      </c>
      <c r="P210" s="1">
        <f t="shared" si="3"/>
        <v>10328.879999999999</v>
      </c>
    </row>
    <row r="211" spans="1:16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6">
        <v>24864.81</v>
      </c>
      <c r="P211" s="1">
        <f t="shared" si="3"/>
        <v>29252.720000000001</v>
      </c>
    </row>
    <row r="212" spans="1:16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6">
        <v>14222.56</v>
      </c>
      <c r="P212" s="1">
        <f t="shared" si="3"/>
        <v>15802.850000000002</v>
      </c>
    </row>
    <row r="213" spans="1:16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6">
        <v>2529.21</v>
      </c>
      <c r="P213" s="1">
        <f t="shared" si="3"/>
        <v>2975.54</v>
      </c>
    </row>
    <row r="214" spans="1:16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6">
        <v>4749.6000000000004</v>
      </c>
      <c r="P214" s="1">
        <f t="shared" si="3"/>
        <v>5937</v>
      </c>
    </row>
    <row r="215" spans="1:16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6">
        <v>5847.01</v>
      </c>
      <c r="P215" s="1">
        <f t="shared" si="3"/>
        <v>6878.84</v>
      </c>
    </row>
    <row r="216" spans="1:16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6">
        <v>2533.7199999999998</v>
      </c>
      <c r="P216" s="1">
        <f t="shared" si="3"/>
        <v>3167.1499999999996</v>
      </c>
    </row>
    <row r="217" spans="1:16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6">
        <v>4614.09</v>
      </c>
      <c r="P217" s="1">
        <f t="shared" si="3"/>
        <v>4856.9400000000005</v>
      </c>
    </row>
    <row r="218" spans="1:16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6">
        <v>10673.02</v>
      </c>
      <c r="P218" s="1">
        <f t="shared" si="3"/>
        <v>13341.28</v>
      </c>
    </row>
    <row r="219" spans="1:16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6">
        <v>4803.26</v>
      </c>
      <c r="P219" s="1">
        <f t="shared" si="3"/>
        <v>4803.26</v>
      </c>
    </row>
    <row r="220" spans="1:16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6">
        <v>8697</v>
      </c>
      <c r="P220" s="1">
        <f t="shared" si="3"/>
        <v>8697</v>
      </c>
    </row>
    <row r="221" spans="1:16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6">
        <v>25927.84</v>
      </c>
      <c r="P221" s="1">
        <f t="shared" si="3"/>
        <v>25927.84</v>
      </c>
    </row>
    <row r="222" spans="1:16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6">
        <v>7913.52</v>
      </c>
      <c r="P222" s="1">
        <f t="shared" si="3"/>
        <v>8792.7999999999993</v>
      </c>
    </row>
    <row r="223" spans="1:16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6">
        <v>24618.7</v>
      </c>
      <c r="P223" s="1">
        <f t="shared" si="3"/>
        <v>27354.11</v>
      </c>
    </row>
    <row r="224" spans="1:16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6">
        <v>7978.77</v>
      </c>
      <c r="P224" s="1">
        <f t="shared" si="3"/>
        <v>8865.2999999999993</v>
      </c>
    </row>
    <row r="225" spans="1:16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6">
        <v>2317.84</v>
      </c>
      <c r="P225" s="1">
        <f t="shared" si="3"/>
        <v>2897.3</v>
      </c>
    </row>
    <row r="226" spans="1:16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6">
        <v>8510.42</v>
      </c>
      <c r="P226" s="1">
        <f t="shared" si="3"/>
        <v>9456.0199999999986</v>
      </c>
    </row>
    <row r="227" spans="1:16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6">
        <v>2945.62</v>
      </c>
      <c r="P227" s="1">
        <f t="shared" si="3"/>
        <v>3100.65</v>
      </c>
    </row>
    <row r="228" spans="1:16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6">
        <v>3467.28</v>
      </c>
      <c r="P228" s="1">
        <f t="shared" si="3"/>
        <v>3467.2799999999997</v>
      </c>
    </row>
    <row r="229" spans="1:16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6">
        <v>16929.28</v>
      </c>
      <c r="P229" s="1">
        <f t="shared" si="3"/>
        <v>21161.599999999999</v>
      </c>
    </row>
    <row r="230" spans="1:16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6">
        <v>28153.599999999999</v>
      </c>
      <c r="P230" s="1">
        <f t="shared" si="3"/>
        <v>28153.599999999999</v>
      </c>
    </row>
    <row r="231" spans="1:16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6">
        <v>8622.4500000000007</v>
      </c>
      <c r="P231" s="1">
        <f t="shared" si="3"/>
        <v>9580.5</v>
      </c>
    </row>
    <row r="232" spans="1:16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6">
        <v>3882.26</v>
      </c>
      <c r="P232" s="1">
        <f t="shared" si="3"/>
        <v>4852.82</v>
      </c>
    </row>
    <row r="233" spans="1:16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6">
        <v>1912.92</v>
      </c>
      <c r="P233" s="1">
        <f t="shared" si="3"/>
        <v>2250.4899999999998</v>
      </c>
    </row>
    <row r="234" spans="1:16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6">
        <v>528.70000000000005</v>
      </c>
      <c r="P234" s="1">
        <f t="shared" si="3"/>
        <v>556.53</v>
      </c>
    </row>
    <row r="235" spans="1:16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6">
        <v>2043.59</v>
      </c>
      <c r="P235" s="1">
        <f t="shared" si="3"/>
        <v>2270.66</v>
      </c>
    </row>
    <row r="236" spans="1:16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6">
        <v>21684.43</v>
      </c>
      <c r="P236" s="1">
        <f t="shared" si="3"/>
        <v>24093.81</v>
      </c>
    </row>
    <row r="237" spans="1:16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6">
        <v>14698.76</v>
      </c>
      <c r="P237" s="1">
        <f t="shared" si="3"/>
        <v>15472.380000000001</v>
      </c>
    </row>
    <row r="238" spans="1:16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6">
        <v>2212.5</v>
      </c>
      <c r="P238" s="1">
        <f t="shared" si="3"/>
        <v>2328.9500000000003</v>
      </c>
    </row>
    <row r="239" spans="1:16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6">
        <v>1934.74</v>
      </c>
      <c r="P239" s="1">
        <f t="shared" si="3"/>
        <v>2276.16</v>
      </c>
    </row>
    <row r="240" spans="1:16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6">
        <v>7129.01</v>
      </c>
      <c r="P240" s="1">
        <f t="shared" si="3"/>
        <v>7921.12</v>
      </c>
    </row>
    <row r="241" spans="1:16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6">
        <v>2151.1999999999998</v>
      </c>
      <c r="P241" s="1">
        <f t="shared" si="3"/>
        <v>2390.2199999999998</v>
      </c>
    </row>
    <row r="242" spans="1:16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6">
        <v>11168.58</v>
      </c>
      <c r="P242" s="1">
        <f t="shared" si="3"/>
        <v>11168.58</v>
      </c>
    </row>
    <row r="243" spans="1:16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6">
        <v>15068.02</v>
      </c>
      <c r="P243" s="1">
        <f t="shared" si="3"/>
        <v>18835.02</v>
      </c>
    </row>
    <row r="244" spans="1:16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6">
        <v>962.45</v>
      </c>
      <c r="P244" s="1">
        <f t="shared" si="3"/>
        <v>1203.06</v>
      </c>
    </row>
    <row r="245" spans="1:16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6">
        <v>2402.67</v>
      </c>
      <c r="P245" s="1">
        <f t="shared" si="3"/>
        <v>2402.67</v>
      </c>
    </row>
    <row r="246" spans="1:16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6">
        <v>9628.48</v>
      </c>
      <c r="P246" s="1">
        <f t="shared" si="3"/>
        <v>12035.6</v>
      </c>
    </row>
    <row r="247" spans="1:16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6">
        <v>2928.33</v>
      </c>
      <c r="P247" s="1">
        <f t="shared" si="3"/>
        <v>3082.45</v>
      </c>
    </row>
    <row r="248" spans="1:16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6">
        <v>11772.71</v>
      </c>
      <c r="P248" s="1">
        <f t="shared" si="3"/>
        <v>14715.89</v>
      </c>
    </row>
    <row r="249" spans="1:16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6">
        <v>14593.15</v>
      </c>
      <c r="P249" s="1">
        <f t="shared" si="3"/>
        <v>18241.440000000002</v>
      </c>
    </row>
    <row r="250" spans="1:16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6">
        <v>3942.92</v>
      </c>
      <c r="P250" s="1">
        <f t="shared" si="3"/>
        <v>3942.92</v>
      </c>
    </row>
    <row r="251" spans="1:16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6">
        <v>23767.17</v>
      </c>
      <c r="P251" s="1">
        <f t="shared" si="3"/>
        <v>27961.38</v>
      </c>
    </row>
    <row r="252" spans="1:16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6">
        <v>11662.66</v>
      </c>
      <c r="P252" s="1">
        <f t="shared" si="3"/>
        <v>14578.32</v>
      </c>
    </row>
    <row r="253" spans="1:16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6">
        <v>5980.16</v>
      </c>
      <c r="P253" s="1">
        <f t="shared" si="3"/>
        <v>7475.2</v>
      </c>
    </row>
    <row r="254" spans="1:16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6">
        <v>10762.15</v>
      </c>
      <c r="P254" s="1">
        <f t="shared" si="3"/>
        <v>12661.35</v>
      </c>
    </row>
    <row r="255" spans="1:16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6">
        <v>5423.32</v>
      </c>
      <c r="P255" s="1">
        <f t="shared" si="3"/>
        <v>5423.32</v>
      </c>
    </row>
    <row r="256" spans="1:16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6">
        <v>15894.71</v>
      </c>
      <c r="P256" s="1">
        <f t="shared" si="3"/>
        <v>18699.659999999996</v>
      </c>
    </row>
    <row r="257" spans="1:16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6">
        <v>15796.32</v>
      </c>
      <c r="P257" s="1">
        <f t="shared" si="3"/>
        <v>15796.32</v>
      </c>
    </row>
    <row r="258" spans="1:16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6">
        <v>685.71</v>
      </c>
      <c r="P258" s="1">
        <f t="shared" si="3"/>
        <v>721.8</v>
      </c>
    </row>
    <row r="259" spans="1:16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6">
        <v>12628.35</v>
      </c>
      <c r="P259" s="1">
        <f t="shared" ref="P259:P322" si="4">L259*M259</f>
        <v>12628.35</v>
      </c>
    </row>
    <row r="260" spans="1:16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6">
        <v>10464.43</v>
      </c>
      <c r="P260" s="1">
        <f t="shared" si="4"/>
        <v>11015.19</v>
      </c>
    </row>
    <row r="261" spans="1:16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6">
        <v>1844.86</v>
      </c>
      <c r="P261" s="1">
        <f t="shared" si="4"/>
        <v>1941.96</v>
      </c>
    </row>
    <row r="262" spans="1:16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6">
        <v>1066.5</v>
      </c>
      <c r="P262" s="1">
        <f t="shared" si="4"/>
        <v>1066.5</v>
      </c>
    </row>
    <row r="263" spans="1:16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6">
        <v>15575.43</v>
      </c>
      <c r="P263" s="1">
        <f t="shared" si="4"/>
        <v>17306.03</v>
      </c>
    </row>
    <row r="264" spans="1:16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6">
        <v>15161.02</v>
      </c>
      <c r="P264" s="1">
        <f t="shared" si="4"/>
        <v>15161.02</v>
      </c>
    </row>
    <row r="265" spans="1:16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6">
        <v>3604.16</v>
      </c>
      <c r="P265" s="1">
        <f t="shared" si="4"/>
        <v>4505.2</v>
      </c>
    </row>
    <row r="266" spans="1:16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6">
        <v>14134.75</v>
      </c>
      <c r="P266" s="1">
        <f t="shared" si="4"/>
        <v>17668.440000000002</v>
      </c>
    </row>
    <row r="267" spans="1:16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6">
        <v>14724.65</v>
      </c>
      <c r="P267" s="1">
        <f t="shared" si="4"/>
        <v>16360.72</v>
      </c>
    </row>
    <row r="268" spans="1:16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6">
        <v>855.74</v>
      </c>
      <c r="P268" s="1">
        <f t="shared" si="4"/>
        <v>900.78</v>
      </c>
    </row>
    <row r="269" spans="1:16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6">
        <v>2394.5</v>
      </c>
      <c r="P269" s="1">
        <f t="shared" si="4"/>
        <v>2660.56</v>
      </c>
    </row>
    <row r="270" spans="1:16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6">
        <v>12626.16</v>
      </c>
      <c r="P270" s="1">
        <f t="shared" si="4"/>
        <v>15782.7</v>
      </c>
    </row>
    <row r="271" spans="1:16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6">
        <v>17264.5</v>
      </c>
      <c r="P271" s="1">
        <f t="shared" si="4"/>
        <v>19182.78</v>
      </c>
    </row>
    <row r="272" spans="1:16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6">
        <v>7408.53</v>
      </c>
      <c r="P272" s="1">
        <f t="shared" si="4"/>
        <v>7408.5300000000007</v>
      </c>
    </row>
    <row r="273" spans="1:16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6">
        <v>17170.46</v>
      </c>
      <c r="P273" s="1">
        <f t="shared" si="4"/>
        <v>19078.29</v>
      </c>
    </row>
    <row r="274" spans="1:16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6">
        <v>2193.8200000000002</v>
      </c>
      <c r="P274" s="1">
        <f t="shared" si="4"/>
        <v>2309.2799999999997</v>
      </c>
    </row>
    <row r="275" spans="1:16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6">
        <v>5032.6000000000004</v>
      </c>
      <c r="P275" s="1">
        <f t="shared" si="4"/>
        <v>5032.6000000000004</v>
      </c>
    </row>
    <row r="276" spans="1:16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6">
        <v>3029.14</v>
      </c>
      <c r="P276" s="1">
        <f t="shared" si="4"/>
        <v>3563.7000000000003</v>
      </c>
    </row>
    <row r="277" spans="1:16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6">
        <v>24708.61</v>
      </c>
      <c r="P277" s="1">
        <f t="shared" si="4"/>
        <v>30885.759999999998</v>
      </c>
    </row>
    <row r="278" spans="1:16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6">
        <v>4824.43</v>
      </c>
      <c r="P278" s="1">
        <f t="shared" si="4"/>
        <v>6030.5399999999991</v>
      </c>
    </row>
    <row r="279" spans="1:16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6">
        <v>3965.44</v>
      </c>
      <c r="P279" s="1">
        <f t="shared" si="4"/>
        <v>4406.04</v>
      </c>
    </row>
    <row r="280" spans="1:16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6">
        <v>21449.22</v>
      </c>
      <c r="P280" s="1">
        <f t="shared" si="4"/>
        <v>21449.22</v>
      </c>
    </row>
    <row r="281" spans="1:16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6">
        <v>25732.02</v>
      </c>
      <c r="P281" s="1">
        <f t="shared" si="4"/>
        <v>30272.959999999999</v>
      </c>
    </row>
    <row r="282" spans="1:16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6">
        <v>15492.2</v>
      </c>
      <c r="P282" s="1">
        <f t="shared" si="4"/>
        <v>15492.2</v>
      </c>
    </row>
    <row r="283" spans="1:16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6">
        <v>409.94</v>
      </c>
      <c r="P283" s="1">
        <f t="shared" si="4"/>
        <v>512.43000000000006</v>
      </c>
    </row>
    <row r="284" spans="1:16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6">
        <v>465.54</v>
      </c>
      <c r="P284" s="1">
        <f t="shared" si="4"/>
        <v>465.54</v>
      </c>
    </row>
    <row r="285" spans="1:16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6">
        <v>8189.02</v>
      </c>
      <c r="P285" s="1">
        <f t="shared" si="4"/>
        <v>9634.14</v>
      </c>
    </row>
    <row r="286" spans="1:16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6">
        <v>1263.73</v>
      </c>
      <c r="P286" s="1">
        <f t="shared" si="4"/>
        <v>1404.14</v>
      </c>
    </row>
    <row r="287" spans="1:16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6">
        <v>1258.5</v>
      </c>
      <c r="P287" s="1">
        <f t="shared" si="4"/>
        <v>1324.74</v>
      </c>
    </row>
    <row r="288" spans="1:16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6">
        <v>11619.96</v>
      </c>
      <c r="P288" s="1">
        <f t="shared" si="4"/>
        <v>11619.960000000001</v>
      </c>
    </row>
    <row r="289" spans="1:16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6">
        <v>28734</v>
      </c>
      <c r="P289" s="1">
        <f t="shared" si="4"/>
        <v>30246.32</v>
      </c>
    </row>
    <row r="290" spans="1:16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6">
        <v>7821.58</v>
      </c>
      <c r="P290" s="1">
        <f t="shared" si="4"/>
        <v>9776.9700000000012</v>
      </c>
    </row>
    <row r="291" spans="1:16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6">
        <v>19406.810000000001</v>
      </c>
      <c r="P291" s="1">
        <f t="shared" si="4"/>
        <v>21563.119999999999</v>
      </c>
    </row>
    <row r="292" spans="1:16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6">
        <v>21554.99</v>
      </c>
      <c r="P292" s="1">
        <f t="shared" si="4"/>
        <v>23949.99</v>
      </c>
    </row>
    <row r="293" spans="1:16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6">
        <v>6699.96</v>
      </c>
      <c r="P293" s="1">
        <f t="shared" si="4"/>
        <v>6699.9600000000009</v>
      </c>
    </row>
    <row r="294" spans="1:16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6">
        <v>7166.18</v>
      </c>
      <c r="P294" s="1">
        <f t="shared" si="4"/>
        <v>7962.42</v>
      </c>
    </row>
    <row r="295" spans="1:16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6">
        <v>2902.47</v>
      </c>
      <c r="P295" s="1">
        <f t="shared" si="4"/>
        <v>2902.4700000000003</v>
      </c>
    </row>
    <row r="296" spans="1:16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6">
        <v>619.73</v>
      </c>
      <c r="P296" s="1">
        <f t="shared" si="4"/>
        <v>619.73</v>
      </c>
    </row>
    <row r="297" spans="1:16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6">
        <v>13539.07</v>
      </c>
      <c r="P297" s="1">
        <f t="shared" si="4"/>
        <v>14251.65</v>
      </c>
    </row>
    <row r="298" spans="1:16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6">
        <v>2112.3000000000002</v>
      </c>
      <c r="P298" s="1">
        <f t="shared" si="4"/>
        <v>2347</v>
      </c>
    </row>
    <row r="299" spans="1:16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6">
        <v>35892.9</v>
      </c>
      <c r="P299" s="1">
        <f t="shared" si="4"/>
        <v>35892.9</v>
      </c>
    </row>
    <row r="300" spans="1:16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6">
        <v>7321.28</v>
      </c>
      <c r="P300" s="1">
        <f t="shared" si="4"/>
        <v>7706.61</v>
      </c>
    </row>
    <row r="301" spans="1:16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6">
        <v>10359.16</v>
      </c>
      <c r="P301" s="1">
        <f t="shared" si="4"/>
        <v>12187.25</v>
      </c>
    </row>
    <row r="302" spans="1:16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6">
        <v>6588.4</v>
      </c>
      <c r="P302" s="1">
        <f t="shared" si="4"/>
        <v>6935.16</v>
      </c>
    </row>
    <row r="303" spans="1:16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6">
        <v>4233.32</v>
      </c>
      <c r="P303" s="1">
        <f t="shared" si="4"/>
        <v>4456.13</v>
      </c>
    </row>
    <row r="304" spans="1:16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6">
        <v>1543.2</v>
      </c>
      <c r="P304" s="1">
        <f t="shared" si="4"/>
        <v>1543.1999999999998</v>
      </c>
    </row>
    <row r="305" spans="1:16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6">
        <v>8152.06</v>
      </c>
      <c r="P305" s="1">
        <f t="shared" si="4"/>
        <v>10190.08</v>
      </c>
    </row>
    <row r="306" spans="1:16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6">
        <v>5209.63</v>
      </c>
      <c r="P306" s="1">
        <f t="shared" si="4"/>
        <v>6512.04</v>
      </c>
    </row>
    <row r="307" spans="1:16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6">
        <v>2713.41</v>
      </c>
      <c r="P307" s="1">
        <f t="shared" si="4"/>
        <v>3391.76</v>
      </c>
    </row>
    <row r="308" spans="1:16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6">
        <v>7632.11</v>
      </c>
      <c r="P308" s="1">
        <f t="shared" si="4"/>
        <v>8033.8</v>
      </c>
    </row>
    <row r="309" spans="1:16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6">
        <v>12572.8</v>
      </c>
      <c r="P309" s="1">
        <f t="shared" si="4"/>
        <v>12572.8</v>
      </c>
    </row>
    <row r="310" spans="1:16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6">
        <v>2466.41</v>
      </c>
      <c r="P310" s="1">
        <f t="shared" si="4"/>
        <v>2740.46</v>
      </c>
    </row>
    <row r="311" spans="1:16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6">
        <v>16748.77</v>
      </c>
      <c r="P311" s="1">
        <f t="shared" si="4"/>
        <v>17630.28</v>
      </c>
    </row>
    <row r="312" spans="1:16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6">
        <v>7776.74</v>
      </c>
      <c r="P312" s="1">
        <f t="shared" si="4"/>
        <v>8186.04</v>
      </c>
    </row>
    <row r="313" spans="1:16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6">
        <v>2588.64</v>
      </c>
      <c r="P313" s="1">
        <f t="shared" si="4"/>
        <v>2588.64</v>
      </c>
    </row>
    <row r="314" spans="1:16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6">
        <v>2763.58</v>
      </c>
      <c r="P314" s="1">
        <f t="shared" si="4"/>
        <v>3251.27</v>
      </c>
    </row>
    <row r="315" spans="1:16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6">
        <v>1597.76</v>
      </c>
      <c r="P315" s="1">
        <f t="shared" si="4"/>
        <v>1681.85</v>
      </c>
    </row>
    <row r="316" spans="1:16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6">
        <v>22120.54</v>
      </c>
      <c r="P316" s="1">
        <f t="shared" si="4"/>
        <v>26024.16</v>
      </c>
    </row>
    <row r="317" spans="1:16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6">
        <v>16518.97</v>
      </c>
      <c r="P317" s="1">
        <f t="shared" si="4"/>
        <v>19434.080000000002</v>
      </c>
    </row>
    <row r="318" spans="1:16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6">
        <v>1261.95</v>
      </c>
      <c r="P318" s="1">
        <f t="shared" si="4"/>
        <v>1577.44</v>
      </c>
    </row>
    <row r="319" spans="1:16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6">
        <v>1715.21</v>
      </c>
      <c r="P319" s="1">
        <f t="shared" si="4"/>
        <v>1715.21</v>
      </c>
    </row>
    <row r="320" spans="1:16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6">
        <v>10516.88</v>
      </c>
      <c r="P320" s="1">
        <f t="shared" si="4"/>
        <v>12372.8</v>
      </c>
    </row>
    <row r="321" spans="1:16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6">
        <v>18038.240000000002</v>
      </c>
      <c r="P321" s="1">
        <f t="shared" si="4"/>
        <v>18038.240000000002</v>
      </c>
    </row>
    <row r="322" spans="1:16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6">
        <v>18946.54</v>
      </c>
      <c r="P322" s="1">
        <f t="shared" si="4"/>
        <v>23683.17</v>
      </c>
    </row>
    <row r="323" spans="1:16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6">
        <v>3204.1</v>
      </c>
      <c r="P323" s="1">
        <f t="shared" ref="P323:P386" si="5">L323*M323</f>
        <v>3204.1000000000004</v>
      </c>
    </row>
    <row r="324" spans="1:16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6">
        <v>3069.25</v>
      </c>
      <c r="P324" s="1">
        <f t="shared" si="5"/>
        <v>3230.79</v>
      </c>
    </row>
    <row r="325" spans="1:16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6">
        <v>26565.24</v>
      </c>
      <c r="P325" s="1">
        <f t="shared" si="5"/>
        <v>31253.22</v>
      </c>
    </row>
    <row r="326" spans="1:16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6">
        <v>5111.05</v>
      </c>
      <c r="P326" s="1">
        <f t="shared" si="5"/>
        <v>5111.05</v>
      </c>
    </row>
    <row r="327" spans="1:16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6">
        <v>6171.55</v>
      </c>
      <c r="P327" s="1">
        <f t="shared" si="5"/>
        <v>6857.28</v>
      </c>
    </row>
    <row r="328" spans="1:16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6">
        <v>23802.6</v>
      </c>
      <c r="P328" s="1">
        <f t="shared" si="5"/>
        <v>23802.6</v>
      </c>
    </row>
    <row r="329" spans="1:16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6">
        <v>5012.16</v>
      </c>
      <c r="P329" s="1">
        <f t="shared" si="5"/>
        <v>5896.66</v>
      </c>
    </row>
    <row r="330" spans="1:16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6">
        <v>2537.09</v>
      </c>
      <c r="P330" s="1">
        <f t="shared" si="5"/>
        <v>3171.36</v>
      </c>
    </row>
    <row r="331" spans="1:16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6">
        <v>22279.599999999999</v>
      </c>
      <c r="P331" s="1">
        <f t="shared" si="5"/>
        <v>27849.5</v>
      </c>
    </row>
    <row r="332" spans="1:16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6">
        <v>4217.87</v>
      </c>
      <c r="P332" s="1">
        <f t="shared" si="5"/>
        <v>4962.2</v>
      </c>
    </row>
    <row r="333" spans="1:16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6">
        <v>2537.1799999999998</v>
      </c>
      <c r="P333" s="1">
        <f t="shared" si="5"/>
        <v>2670.72</v>
      </c>
    </row>
    <row r="334" spans="1:16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6">
        <v>16028.83</v>
      </c>
      <c r="P334" s="1">
        <f t="shared" si="5"/>
        <v>16872.449999999997</v>
      </c>
    </row>
    <row r="335" spans="1:16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6">
        <v>10063.08</v>
      </c>
      <c r="P335" s="1">
        <f t="shared" si="5"/>
        <v>12578.85</v>
      </c>
    </row>
    <row r="336" spans="1:16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6">
        <v>13370.56</v>
      </c>
      <c r="P336" s="1">
        <f t="shared" si="5"/>
        <v>16713.2</v>
      </c>
    </row>
    <row r="337" spans="1:16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6">
        <v>957.52</v>
      </c>
      <c r="P337" s="1">
        <f t="shared" si="5"/>
        <v>1126.5</v>
      </c>
    </row>
    <row r="338" spans="1:16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6">
        <v>23270.36</v>
      </c>
      <c r="P338" s="1">
        <f t="shared" si="5"/>
        <v>24495.119999999999</v>
      </c>
    </row>
    <row r="339" spans="1:16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6">
        <v>1114.6099999999999</v>
      </c>
      <c r="P339" s="1">
        <f t="shared" si="5"/>
        <v>1393.26</v>
      </c>
    </row>
    <row r="340" spans="1:16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6">
        <v>14092.34</v>
      </c>
      <c r="P340" s="1">
        <f t="shared" si="5"/>
        <v>14834.04</v>
      </c>
    </row>
    <row r="341" spans="1:16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6">
        <v>10111.82</v>
      </c>
      <c r="P341" s="1">
        <f t="shared" si="5"/>
        <v>12639.78</v>
      </c>
    </row>
    <row r="342" spans="1:16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6">
        <v>2567.7199999999998</v>
      </c>
      <c r="P342" s="1">
        <f t="shared" si="5"/>
        <v>2567.7199999999998</v>
      </c>
    </row>
    <row r="343" spans="1:16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6">
        <v>8338.99</v>
      </c>
      <c r="P343" s="1">
        <f t="shared" si="5"/>
        <v>9265.5499999999993</v>
      </c>
    </row>
    <row r="344" spans="1:16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6">
        <v>2194.5700000000002</v>
      </c>
      <c r="P344" s="1">
        <f t="shared" si="5"/>
        <v>2194.5699999999997</v>
      </c>
    </row>
    <row r="345" spans="1:16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6">
        <v>8914.59</v>
      </c>
      <c r="P345" s="1">
        <f t="shared" si="5"/>
        <v>11143.24</v>
      </c>
    </row>
    <row r="346" spans="1:16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6">
        <v>3262.88</v>
      </c>
      <c r="P346" s="1">
        <f t="shared" si="5"/>
        <v>3625.42</v>
      </c>
    </row>
    <row r="347" spans="1:16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6">
        <v>27325.03</v>
      </c>
      <c r="P347" s="1">
        <f t="shared" si="5"/>
        <v>30361.14</v>
      </c>
    </row>
    <row r="348" spans="1:16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6">
        <v>2049.1799999999998</v>
      </c>
      <c r="P348" s="1">
        <f t="shared" si="5"/>
        <v>2561.48</v>
      </c>
    </row>
    <row r="349" spans="1:16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6">
        <v>4580.21</v>
      </c>
      <c r="P349" s="1">
        <f t="shared" si="5"/>
        <v>5725.26</v>
      </c>
    </row>
    <row r="350" spans="1:16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6">
        <v>18705.8</v>
      </c>
      <c r="P350" s="1">
        <f t="shared" si="5"/>
        <v>19690.32</v>
      </c>
    </row>
    <row r="351" spans="1:16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6">
        <v>2966.7</v>
      </c>
      <c r="P351" s="1">
        <f t="shared" si="5"/>
        <v>3708.38</v>
      </c>
    </row>
    <row r="352" spans="1:16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6">
        <v>4905.13</v>
      </c>
      <c r="P352" s="1">
        <f t="shared" si="5"/>
        <v>5770.74</v>
      </c>
    </row>
    <row r="353" spans="1:16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6">
        <v>3313.66</v>
      </c>
      <c r="P353" s="1">
        <f t="shared" si="5"/>
        <v>4142.08</v>
      </c>
    </row>
    <row r="354" spans="1:16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6">
        <v>10521.12</v>
      </c>
      <c r="P354" s="1">
        <f t="shared" si="5"/>
        <v>12377.789999999999</v>
      </c>
    </row>
    <row r="355" spans="1:16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6">
        <v>2874.34</v>
      </c>
      <c r="P355" s="1">
        <f t="shared" si="5"/>
        <v>3592.92</v>
      </c>
    </row>
    <row r="356" spans="1:16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6">
        <v>22511.119999999999</v>
      </c>
      <c r="P356" s="1">
        <f t="shared" si="5"/>
        <v>23695.920000000002</v>
      </c>
    </row>
    <row r="357" spans="1:16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6">
        <v>9637.24</v>
      </c>
      <c r="P357" s="1">
        <f t="shared" si="5"/>
        <v>11337.93</v>
      </c>
    </row>
    <row r="358" spans="1:16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6">
        <v>10402.48</v>
      </c>
      <c r="P358" s="1">
        <f t="shared" si="5"/>
        <v>10402.48</v>
      </c>
    </row>
    <row r="359" spans="1:16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6">
        <v>24351.62</v>
      </c>
      <c r="P359" s="1">
        <f t="shared" si="5"/>
        <v>28648.959999999999</v>
      </c>
    </row>
    <row r="360" spans="1:16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6">
        <v>192.37</v>
      </c>
      <c r="P360" s="1">
        <f t="shared" si="5"/>
        <v>202.49</v>
      </c>
    </row>
    <row r="361" spans="1:16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6">
        <v>9469</v>
      </c>
      <c r="P361" s="1">
        <f t="shared" si="5"/>
        <v>11140</v>
      </c>
    </row>
    <row r="362" spans="1:16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6">
        <v>5482.25</v>
      </c>
      <c r="P362" s="1">
        <f t="shared" si="5"/>
        <v>6852.8099999999995</v>
      </c>
    </row>
    <row r="363" spans="1:16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6">
        <v>4035.58</v>
      </c>
      <c r="P363" s="1">
        <f t="shared" si="5"/>
        <v>5044.4799999999996</v>
      </c>
    </row>
    <row r="364" spans="1:16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6">
        <v>479.35</v>
      </c>
      <c r="P364" s="1">
        <f t="shared" si="5"/>
        <v>504.58</v>
      </c>
    </row>
    <row r="365" spans="1:16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6">
        <v>2959.93</v>
      </c>
      <c r="P365" s="1">
        <f t="shared" si="5"/>
        <v>3288.81</v>
      </c>
    </row>
    <row r="366" spans="1:16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6">
        <v>14373.84</v>
      </c>
      <c r="P366" s="1">
        <f t="shared" si="5"/>
        <v>17967.3</v>
      </c>
    </row>
    <row r="367" spans="1:16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6">
        <v>16604.400000000001</v>
      </c>
      <c r="P367" s="1">
        <f t="shared" si="5"/>
        <v>16604.400000000001</v>
      </c>
    </row>
    <row r="368" spans="1:16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6">
        <v>27438.51</v>
      </c>
      <c r="P368" s="1">
        <f t="shared" si="5"/>
        <v>28882.639999999999</v>
      </c>
    </row>
    <row r="369" spans="1:16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6">
        <v>13562.91</v>
      </c>
      <c r="P369" s="1">
        <f t="shared" si="5"/>
        <v>15956.36</v>
      </c>
    </row>
    <row r="370" spans="1:16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6">
        <v>22284.89</v>
      </c>
      <c r="P370" s="1">
        <f t="shared" si="5"/>
        <v>26217.52</v>
      </c>
    </row>
    <row r="371" spans="1:16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6">
        <v>9771.36</v>
      </c>
      <c r="P371" s="1">
        <f t="shared" si="5"/>
        <v>9771.36</v>
      </c>
    </row>
    <row r="372" spans="1:16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6">
        <v>13032.62</v>
      </c>
      <c r="P372" s="1">
        <f t="shared" si="5"/>
        <v>16290.78</v>
      </c>
    </row>
    <row r="373" spans="1:16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6">
        <v>7518.34</v>
      </c>
      <c r="P373" s="1">
        <f t="shared" si="5"/>
        <v>7914.04</v>
      </c>
    </row>
    <row r="374" spans="1:16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6">
        <v>6114.3</v>
      </c>
      <c r="P374" s="1">
        <f t="shared" si="5"/>
        <v>6114.2999999999993</v>
      </c>
    </row>
    <row r="375" spans="1:16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6">
        <v>6604.44</v>
      </c>
      <c r="P375" s="1">
        <f t="shared" si="5"/>
        <v>8255.5499999999993</v>
      </c>
    </row>
    <row r="376" spans="1:16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6">
        <v>5694.81</v>
      </c>
      <c r="P376" s="1">
        <f t="shared" si="5"/>
        <v>5994.54</v>
      </c>
    </row>
    <row r="377" spans="1:16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6">
        <v>3474.94</v>
      </c>
      <c r="P377" s="1">
        <f t="shared" si="5"/>
        <v>4088.16</v>
      </c>
    </row>
    <row r="378" spans="1:16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6">
        <v>3511.2</v>
      </c>
      <c r="P378" s="1">
        <f t="shared" si="5"/>
        <v>3696</v>
      </c>
    </row>
    <row r="379" spans="1:16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6">
        <v>27089.88</v>
      </c>
      <c r="P379" s="1">
        <f t="shared" si="5"/>
        <v>30099.87</v>
      </c>
    </row>
    <row r="380" spans="1:16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6">
        <v>3715.13</v>
      </c>
      <c r="P380" s="1">
        <f t="shared" si="5"/>
        <v>3910.66</v>
      </c>
    </row>
    <row r="381" spans="1:16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6">
        <v>4612.1099999999997</v>
      </c>
      <c r="P381" s="1">
        <f t="shared" si="5"/>
        <v>5124.57</v>
      </c>
    </row>
    <row r="382" spans="1:16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6">
        <v>1389.23</v>
      </c>
      <c r="P382" s="1">
        <f t="shared" si="5"/>
        <v>1462.35</v>
      </c>
    </row>
    <row r="383" spans="1:16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6">
        <v>2904.34</v>
      </c>
      <c r="P383" s="1">
        <f t="shared" si="5"/>
        <v>3227.04</v>
      </c>
    </row>
    <row r="384" spans="1:16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6">
        <v>3044.34</v>
      </c>
      <c r="P384" s="1">
        <f t="shared" si="5"/>
        <v>3581.58</v>
      </c>
    </row>
    <row r="385" spans="1:16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6">
        <v>7742.72</v>
      </c>
      <c r="P385" s="1">
        <f t="shared" si="5"/>
        <v>9678.4</v>
      </c>
    </row>
    <row r="386" spans="1:16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6">
        <v>3731.7</v>
      </c>
      <c r="P386" s="1">
        <f t="shared" si="5"/>
        <v>4146.33</v>
      </c>
    </row>
    <row r="387" spans="1:16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6">
        <v>3571.88</v>
      </c>
      <c r="P387" s="1">
        <f t="shared" ref="P387:P450" si="6">L387*M387</f>
        <v>3968.76</v>
      </c>
    </row>
    <row r="388" spans="1:16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6">
        <v>9353.2000000000007</v>
      </c>
      <c r="P388" s="1">
        <f t="shared" si="6"/>
        <v>11003.76</v>
      </c>
    </row>
    <row r="389" spans="1:16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6">
        <v>5488.53</v>
      </c>
      <c r="P389" s="1">
        <f t="shared" si="6"/>
        <v>6098.37</v>
      </c>
    </row>
    <row r="390" spans="1:16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6">
        <v>24215.03</v>
      </c>
      <c r="P390" s="1">
        <f t="shared" si="6"/>
        <v>24215.03</v>
      </c>
    </row>
    <row r="391" spans="1:16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6">
        <v>2065.81</v>
      </c>
      <c r="P391" s="1">
        <f t="shared" si="6"/>
        <v>2430.36</v>
      </c>
    </row>
    <row r="392" spans="1:16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6">
        <v>16946.52</v>
      </c>
      <c r="P392" s="1">
        <f t="shared" si="6"/>
        <v>16946.52</v>
      </c>
    </row>
    <row r="393" spans="1:16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6">
        <v>3962.65</v>
      </c>
      <c r="P393" s="1">
        <f t="shared" si="6"/>
        <v>4661.9400000000005</v>
      </c>
    </row>
    <row r="394" spans="1:16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6">
        <v>21551.4</v>
      </c>
      <c r="P394" s="1">
        <f t="shared" si="6"/>
        <v>23946</v>
      </c>
    </row>
    <row r="395" spans="1:16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6">
        <v>16298.88</v>
      </c>
      <c r="P395" s="1">
        <f t="shared" si="6"/>
        <v>16298.880000000001</v>
      </c>
    </row>
    <row r="396" spans="1:16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6">
        <v>1098.56</v>
      </c>
      <c r="P396" s="1">
        <f t="shared" si="6"/>
        <v>1220.6199999999999</v>
      </c>
    </row>
    <row r="397" spans="1:16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6">
        <v>12008.82</v>
      </c>
      <c r="P397" s="1">
        <f t="shared" si="6"/>
        <v>14128.02</v>
      </c>
    </row>
    <row r="398" spans="1:16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6">
        <v>7172.3</v>
      </c>
      <c r="P398" s="1">
        <f t="shared" si="6"/>
        <v>7969.22</v>
      </c>
    </row>
    <row r="399" spans="1:16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6">
        <v>16228.85</v>
      </c>
      <c r="P399" s="1">
        <f t="shared" si="6"/>
        <v>16228.85</v>
      </c>
    </row>
    <row r="400" spans="1:16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6">
        <v>5369.58</v>
      </c>
      <c r="P400" s="1">
        <f t="shared" si="6"/>
        <v>5369.58</v>
      </c>
    </row>
    <row r="401" spans="1:16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6">
        <v>14326.31</v>
      </c>
      <c r="P401" s="1">
        <f t="shared" si="6"/>
        <v>15918.12</v>
      </c>
    </row>
    <row r="402" spans="1:16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6">
        <v>1923.29</v>
      </c>
      <c r="P402" s="1">
        <f t="shared" si="6"/>
        <v>2024.52</v>
      </c>
    </row>
    <row r="403" spans="1:16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6">
        <v>16087.13</v>
      </c>
      <c r="P403" s="1">
        <f t="shared" si="6"/>
        <v>18926.04</v>
      </c>
    </row>
    <row r="404" spans="1:16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6">
        <v>2332.19</v>
      </c>
      <c r="P404" s="1">
        <f t="shared" si="6"/>
        <v>2743.75</v>
      </c>
    </row>
    <row r="405" spans="1:16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6">
        <v>11177.53</v>
      </c>
      <c r="P405" s="1">
        <f t="shared" si="6"/>
        <v>12419.48</v>
      </c>
    </row>
    <row r="406" spans="1:16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6">
        <v>5069.16</v>
      </c>
      <c r="P406" s="1">
        <f t="shared" si="6"/>
        <v>5335.96</v>
      </c>
    </row>
    <row r="407" spans="1:16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6">
        <v>2044.41</v>
      </c>
      <c r="P407" s="1">
        <f t="shared" si="6"/>
        <v>2044.41</v>
      </c>
    </row>
    <row r="408" spans="1:16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6">
        <v>23159.23</v>
      </c>
      <c r="P408" s="1">
        <f t="shared" si="6"/>
        <v>28949.040000000001</v>
      </c>
    </row>
    <row r="409" spans="1:16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6">
        <v>3344.9</v>
      </c>
      <c r="P409" s="1">
        <f t="shared" si="6"/>
        <v>4181.12</v>
      </c>
    </row>
    <row r="410" spans="1:16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6">
        <v>6427.45</v>
      </c>
      <c r="P410" s="1">
        <f t="shared" si="6"/>
        <v>7141.6100000000006</v>
      </c>
    </row>
    <row r="411" spans="1:16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6">
        <v>6473.92</v>
      </c>
      <c r="P411" s="1">
        <f t="shared" si="6"/>
        <v>6814.6500000000005</v>
      </c>
    </row>
    <row r="412" spans="1:16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6">
        <v>6172.3</v>
      </c>
      <c r="P412" s="1">
        <f t="shared" si="6"/>
        <v>6497.16</v>
      </c>
    </row>
    <row r="413" spans="1:16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6">
        <v>8409.6299999999992</v>
      </c>
      <c r="P413" s="1">
        <f t="shared" si="6"/>
        <v>9893.68</v>
      </c>
    </row>
    <row r="414" spans="1:16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6">
        <v>10380.719999999999</v>
      </c>
      <c r="P414" s="1">
        <f t="shared" si="6"/>
        <v>10380.719999999999</v>
      </c>
    </row>
    <row r="415" spans="1:16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6">
        <v>1158.71</v>
      </c>
      <c r="P415" s="1">
        <f t="shared" si="6"/>
        <v>1219.7</v>
      </c>
    </row>
    <row r="416" spans="1:16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6">
        <v>4992.51</v>
      </c>
      <c r="P416" s="1">
        <f t="shared" si="6"/>
        <v>6240.64</v>
      </c>
    </row>
    <row r="417" spans="1:16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6">
        <v>21278.560000000001</v>
      </c>
      <c r="P417" s="1">
        <f t="shared" si="6"/>
        <v>21278.560000000001</v>
      </c>
    </row>
    <row r="418" spans="1:16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6">
        <v>3354.81</v>
      </c>
      <c r="P418" s="1">
        <f t="shared" si="6"/>
        <v>3354.81</v>
      </c>
    </row>
    <row r="419" spans="1:16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6">
        <v>28120.1</v>
      </c>
      <c r="P419" s="1">
        <f t="shared" si="6"/>
        <v>31244.560000000001</v>
      </c>
    </row>
    <row r="420" spans="1:16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6">
        <v>15014.03</v>
      </c>
      <c r="P420" s="1">
        <f t="shared" si="6"/>
        <v>15804.24</v>
      </c>
    </row>
    <row r="421" spans="1:16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6">
        <v>732.19</v>
      </c>
      <c r="P421" s="1">
        <f t="shared" si="6"/>
        <v>813.54</v>
      </c>
    </row>
    <row r="422" spans="1:16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6">
        <v>1273.6099999999999</v>
      </c>
      <c r="P422" s="1">
        <f t="shared" si="6"/>
        <v>1340.64</v>
      </c>
    </row>
    <row r="423" spans="1:16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6">
        <v>6570.38</v>
      </c>
      <c r="P423" s="1">
        <f t="shared" si="6"/>
        <v>7729.86</v>
      </c>
    </row>
    <row r="424" spans="1:16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6">
        <v>30296.43</v>
      </c>
      <c r="P424" s="1">
        <f t="shared" si="6"/>
        <v>33662.700000000004</v>
      </c>
    </row>
    <row r="425" spans="1:16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6">
        <v>15583.46</v>
      </c>
      <c r="P425" s="1">
        <f t="shared" si="6"/>
        <v>17314.96</v>
      </c>
    </row>
    <row r="426" spans="1:16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6">
        <v>7656.83</v>
      </c>
      <c r="P426" s="1">
        <f t="shared" si="6"/>
        <v>9571.0400000000009</v>
      </c>
    </row>
    <row r="427" spans="1:16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6">
        <v>10626.78</v>
      </c>
      <c r="P427" s="1">
        <f t="shared" si="6"/>
        <v>11807.529999999999</v>
      </c>
    </row>
    <row r="428" spans="1:16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6">
        <v>20986.74</v>
      </c>
      <c r="P428" s="1">
        <f t="shared" si="6"/>
        <v>22091.31</v>
      </c>
    </row>
    <row r="429" spans="1:16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6">
        <v>4262.18</v>
      </c>
      <c r="P429" s="1">
        <f t="shared" si="6"/>
        <v>5327.72</v>
      </c>
    </row>
    <row r="430" spans="1:16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6">
        <v>2004.99</v>
      </c>
      <c r="P430" s="1">
        <f t="shared" si="6"/>
        <v>2227.77</v>
      </c>
    </row>
    <row r="431" spans="1:16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6">
        <v>28163.3</v>
      </c>
      <c r="P431" s="1">
        <f t="shared" si="6"/>
        <v>31292.560000000001</v>
      </c>
    </row>
    <row r="432" spans="1:16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6">
        <v>11461.59</v>
      </c>
      <c r="P432" s="1">
        <f t="shared" si="6"/>
        <v>13484.22</v>
      </c>
    </row>
    <row r="433" spans="1:16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6">
        <v>5446.44</v>
      </c>
      <c r="P433" s="1">
        <f t="shared" si="6"/>
        <v>6051.5999999999995</v>
      </c>
    </row>
    <row r="434" spans="1:16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6">
        <v>14362</v>
      </c>
      <c r="P434" s="1">
        <f t="shared" si="6"/>
        <v>14362</v>
      </c>
    </row>
    <row r="435" spans="1:16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6">
        <v>2799.1</v>
      </c>
      <c r="P435" s="1">
        <f t="shared" si="6"/>
        <v>3498.88</v>
      </c>
    </row>
    <row r="436" spans="1:16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6">
        <v>10934.34</v>
      </c>
      <c r="P436" s="1">
        <f t="shared" si="6"/>
        <v>10934.34</v>
      </c>
    </row>
    <row r="437" spans="1:16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6">
        <v>9568.27</v>
      </c>
      <c r="P437" s="1">
        <f t="shared" si="6"/>
        <v>11960.34</v>
      </c>
    </row>
    <row r="438" spans="1:16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6">
        <v>19357.29</v>
      </c>
      <c r="P438" s="1">
        <f t="shared" si="6"/>
        <v>22773.279999999999</v>
      </c>
    </row>
    <row r="439" spans="1:16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6">
        <v>14022.99</v>
      </c>
      <c r="P439" s="1">
        <f t="shared" si="6"/>
        <v>15581.099999999999</v>
      </c>
    </row>
    <row r="440" spans="1:16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6">
        <v>3911.27</v>
      </c>
      <c r="P440" s="1">
        <f t="shared" si="6"/>
        <v>4345.8599999999997</v>
      </c>
    </row>
    <row r="441" spans="1:16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6">
        <v>3397.56</v>
      </c>
      <c r="P441" s="1">
        <f t="shared" si="6"/>
        <v>3775.07</v>
      </c>
    </row>
    <row r="442" spans="1:16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6">
        <v>5254.56</v>
      </c>
      <c r="P442" s="1">
        <f t="shared" si="6"/>
        <v>6568.2000000000007</v>
      </c>
    </row>
    <row r="443" spans="1:16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6">
        <v>24054.57</v>
      </c>
      <c r="P443" s="1">
        <f t="shared" si="6"/>
        <v>26727.3</v>
      </c>
    </row>
    <row r="444" spans="1:16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6">
        <v>18539.05</v>
      </c>
      <c r="P444" s="1">
        <f t="shared" si="6"/>
        <v>18539.05</v>
      </c>
    </row>
    <row r="445" spans="1:16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6">
        <v>7027.99</v>
      </c>
      <c r="P445" s="1">
        <f t="shared" si="6"/>
        <v>7808.88</v>
      </c>
    </row>
    <row r="446" spans="1:16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6">
        <v>19979.150000000001</v>
      </c>
      <c r="P446" s="1">
        <f t="shared" si="6"/>
        <v>23504.880000000001</v>
      </c>
    </row>
    <row r="447" spans="1:16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6">
        <v>2633.24</v>
      </c>
      <c r="P447" s="1">
        <f t="shared" si="6"/>
        <v>2633.24</v>
      </c>
    </row>
    <row r="448" spans="1:16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6">
        <v>13936.36</v>
      </c>
      <c r="P448" s="1">
        <f t="shared" si="6"/>
        <v>15484.84</v>
      </c>
    </row>
    <row r="449" spans="1:16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6">
        <v>16180.04</v>
      </c>
      <c r="P449" s="1">
        <f t="shared" si="6"/>
        <v>17977.82</v>
      </c>
    </row>
    <row r="450" spans="1:16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6">
        <v>14185.29</v>
      </c>
      <c r="P450" s="1">
        <f t="shared" si="6"/>
        <v>14931.88</v>
      </c>
    </row>
    <row r="451" spans="1:16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6">
        <v>15416.8</v>
      </c>
      <c r="P451" s="1">
        <f t="shared" ref="P451:P501" si="7">L451*M451</f>
        <v>19271</v>
      </c>
    </row>
    <row r="452" spans="1:16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6">
        <v>9330.09</v>
      </c>
      <c r="P452" s="1">
        <f t="shared" si="7"/>
        <v>9330.09</v>
      </c>
    </row>
    <row r="453" spans="1:16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6">
        <v>1495.86</v>
      </c>
      <c r="P453" s="1">
        <f t="shared" si="7"/>
        <v>1574.59</v>
      </c>
    </row>
    <row r="454" spans="1:16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6">
        <v>11573.53</v>
      </c>
      <c r="P454" s="1">
        <f t="shared" si="7"/>
        <v>13615.920000000002</v>
      </c>
    </row>
    <row r="455" spans="1:16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6">
        <v>22979.23</v>
      </c>
      <c r="P455" s="1">
        <f t="shared" si="7"/>
        <v>28724.04</v>
      </c>
    </row>
    <row r="456" spans="1:16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6">
        <v>2748.46</v>
      </c>
      <c r="P456" s="1">
        <f t="shared" si="7"/>
        <v>2748.46</v>
      </c>
    </row>
    <row r="457" spans="1:16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6">
        <v>6431.29</v>
      </c>
      <c r="P457" s="1">
        <f t="shared" si="7"/>
        <v>7145.88</v>
      </c>
    </row>
    <row r="458" spans="1:16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6">
        <v>7403.3</v>
      </c>
      <c r="P458" s="1">
        <f t="shared" si="7"/>
        <v>7403.3</v>
      </c>
    </row>
    <row r="459" spans="1:16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6">
        <v>26654.75</v>
      </c>
      <c r="P459" s="1">
        <f t="shared" si="7"/>
        <v>29616.39</v>
      </c>
    </row>
    <row r="460" spans="1:16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6">
        <v>6230.08</v>
      </c>
      <c r="P460" s="1">
        <f t="shared" si="7"/>
        <v>7787.6</v>
      </c>
    </row>
    <row r="461" spans="1:16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6">
        <v>400.84</v>
      </c>
      <c r="P461" s="1">
        <f t="shared" si="7"/>
        <v>445.38</v>
      </c>
    </row>
    <row r="462" spans="1:16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6">
        <v>2683.62</v>
      </c>
      <c r="P462" s="1">
        <f t="shared" si="7"/>
        <v>3157.2</v>
      </c>
    </row>
    <row r="463" spans="1:16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6">
        <v>2080.35</v>
      </c>
      <c r="P463" s="1">
        <f t="shared" si="7"/>
        <v>2311.5</v>
      </c>
    </row>
    <row r="464" spans="1:16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6">
        <v>8807.36</v>
      </c>
      <c r="P464" s="1">
        <f t="shared" si="7"/>
        <v>10361.6</v>
      </c>
    </row>
    <row r="465" spans="1:16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6">
        <v>447.52</v>
      </c>
      <c r="P465" s="1">
        <f t="shared" si="7"/>
        <v>559.4</v>
      </c>
    </row>
    <row r="466" spans="1:16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6">
        <v>1886.21</v>
      </c>
      <c r="P466" s="1">
        <f t="shared" si="7"/>
        <v>2357.7600000000002</v>
      </c>
    </row>
    <row r="467" spans="1:16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6">
        <v>22638.240000000002</v>
      </c>
      <c r="P467" s="1">
        <f t="shared" si="7"/>
        <v>22638.239999999998</v>
      </c>
    </row>
    <row r="468" spans="1:16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6">
        <v>11933.05</v>
      </c>
      <c r="P468" s="1">
        <f t="shared" si="7"/>
        <v>14038.88</v>
      </c>
    </row>
    <row r="469" spans="1:16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6">
        <v>14462.55</v>
      </c>
      <c r="P469" s="1">
        <f t="shared" si="7"/>
        <v>17014.77</v>
      </c>
    </row>
    <row r="470" spans="1:16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6">
        <v>18740.41</v>
      </c>
      <c r="P470" s="1">
        <f t="shared" si="7"/>
        <v>19726.75</v>
      </c>
    </row>
    <row r="471" spans="1:16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6">
        <v>1145.47</v>
      </c>
      <c r="P471" s="1">
        <f t="shared" si="7"/>
        <v>1205.76</v>
      </c>
    </row>
    <row r="472" spans="1:16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6">
        <v>21493.16</v>
      </c>
      <c r="P472" s="1">
        <f t="shared" si="7"/>
        <v>22624.38</v>
      </c>
    </row>
    <row r="473" spans="1:16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6">
        <v>11354.63</v>
      </c>
      <c r="P473" s="1">
        <f t="shared" si="7"/>
        <v>12616.25</v>
      </c>
    </row>
    <row r="474" spans="1:16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6">
        <v>10893.61</v>
      </c>
      <c r="P474" s="1">
        <f t="shared" si="7"/>
        <v>11466.960000000001</v>
      </c>
    </row>
    <row r="475" spans="1:16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6">
        <v>1426.51</v>
      </c>
      <c r="P475" s="1">
        <f t="shared" si="7"/>
        <v>1678.25</v>
      </c>
    </row>
    <row r="476" spans="1:16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6">
        <v>11990.35</v>
      </c>
      <c r="P476" s="1">
        <f t="shared" si="7"/>
        <v>13322.61</v>
      </c>
    </row>
    <row r="477" spans="1:16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6">
        <v>5592.32</v>
      </c>
      <c r="P477" s="1">
        <f t="shared" si="7"/>
        <v>6990.4</v>
      </c>
    </row>
    <row r="478" spans="1:16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6">
        <v>5924.8</v>
      </c>
      <c r="P478" s="1">
        <f t="shared" si="7"/>
        <v>5924.8</v>
      </c>
    </row>
    <row r="479" spans="1:16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6">
        <v>3187.82</v>
      </c>
      <c r="P479" s="1">
        <f t="shared" si="7"/>
        <v>3355.6</v>
      </c>
    </row>
    <row r="480" spans="1:16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6">
        <v>2186.1799999999998</v>
      </c>
      <c r="P480" s="1">
        <f t="shared" si="7"/>
        <v>2732.73</v>
      </c>
    </row>
    <row r="481" spans="1:16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6">
        <v>4309.5</v>
      </c>
      <c r="P481" s="1">
        <f t="shared" si="7"/>
        <v>5070</v>
      </c>
    </row>
    <row r="482" spans="1:16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6">
        <v>9284.08</v>
      </c>
      <c r="P482" s="1">
        <f t="shared" si="7"/>
        <v>9284.08</v>
      </c>
    </row>
    <row r="483" spans="1:16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6">
        <v>12164.54</v>
      </c>
      <c r="P483" s="1">
        <f t="shared" si="7"/>
        <v>15205.679999999998</v>
      </c>
    </row>
    <row r="484" spans="1:16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6">
        <v>1734.45</v>
      </c>
      <c r="P484" s="1">
        <f t="shared" si="7"/>
        <v>1734.4499999999998</v>
      </c>
    </row>
    <row r="485" spans="1:16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6">
        <v>26542.62</v>
      </c>
      <c r="P485" s="1">
        <f t="shared" si="7"/>
        <v>27939.599999999999</v>
      </c>
    </row>
    <row r="486" spans="1:16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6">
        <v>2201.23</v>
      </c>
      <c r="P486" s="1">
        <f t="shared" si="7"/>
        <v>2589.6799999999998</v>
      </c>
    </row>
    <row r="487" spans="1:16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6">
        <v>6981.93</v>
      </c>
      <c r="P487" s="1">
        <f t="shared" si="7"/>
        <v>6981.93</v>
      </c>
    </row>
    <row r="488" spans="1:16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6">
        <v>8803.65</v>
      </c>
      <c r="P488" s="1">
        <f t="shared" si="7"/>
        <v>11004.56</v>
      </c>
    </row>
    <row r="489" spans="1:16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6">
        <v>281.8</v>
      </c>
      <c r="P489" s="1">
        <f t="shared" si="7"/>
        <v>296.63</v>
      </c>
    </row>
    <row r="490" spans="1:16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6">
        <v>19280.29</v>
      </c>
      <c r="P490" s="1">
        <f t="shared" si="7"/>
        <v>20295.04</v>
      </c>
    </row>
    <row r="491" spans="1:16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6">
        <v>15893.14</v>
      </c>
      <c r="P491" s="1">
        <f t="shared" si="7"/>
        <v>19866.419999999998</v>
      </c>
    </row>
    <row r="492" spans="1:16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6">
        <v>3909.72</v>
      </c>
      <c r="P492" s="1">
        <f t="shared" si="7"/>
        <v>4887.1499999999996</v>
      </c>
    </row>
    <row r="493" spans="1:16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6">
        <v>1557.8</v>
      </c>
      <c r="P493" s="1">
        <f t="shared" si="7"/>
        <v>1557.8</v>
      </c>
    </row>
    <row r="494" spans="1:16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6">
        <v>9765.19</v>
      </c>
      <c r="P494" s="1">
        <f t="shared" si="7"/>
        <v>10850.21</v>
      </c>
    </row>
    <row r="495" spans="1:16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6">
        <v>2515.5500000000002</v>
      </c>
      <c r="P495" s="1">
        <f t="shared" si="7"/>
        <v>2647.9500000000003</v>
      </c>
    </row>
    <row r="496" spans="1:16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6">
        <v>4787.5200000000004</v>
      </c>
      <c r="P496" s="1">
        <f t="shared" si="7"/>
        <v>4787.5200000000004</v>
      </c>
    </row>
    <row r="497" spans="1:16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6">
        <v>5418.77</v>
      </c>
      <c r="P497" s="1">
        <f t="shared" si="7"/>
        <v>6773.4600000000009</v>
      </c>
    </row>
    <row r="498" spans="1:16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6">
        <v>6437.75</v>
      </c>
      <c r="P498" s="1">
        <f t="shared" si="7"/>
        <v>6437.75</v>
      </c>
    </row>
    <row r="499" spans="1:16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6">
        <v>15770.81</v>
      </c>
      <c r="P499" s="1">
        <f t="shared" si="7"/>
        <v>19713.509999999998</v>
      </c>
    </row>
    <row r="500" spans="1:16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6">
        <v>4695.08</v>
      </c>
      <c r="P500" s="1">
        <f t="shared" si="7"/>
        <v>5523.62</v>
      </c>
    </row>
    <row r="501" spans="1:16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6">
        <v>1945.74</v>
      </c>
      <c r="P501" s="1">
        <f t="shared" si="7"/>
        <v>2432.17</v>
      </c>
    </row>
  </sheetData>
  <mergeCells count="4">
    <mergeCell ref="R18:S18"/>
    <mergeCell ref="R55:S55"/>
    <mergeCell ref="R60:T60"/>
    <mergeCell ref="R28:T28"/>
  </mergeCells>
  <dataValidations count="5">
    <dataValidation type="list" allowBlank="1" showInputMessage="1" showErrorMessage="1" sqref="T2" xr:uid="{D7779E28-7B6E-4C0B-A2C8-D8466EC0A8A1}">
      <formula1>$V$1:$V$5</formula1>
    </dataValidation>
    <dataValidation type="list" allowBlank="1" showInputMessage="1" showErrorMessage="1" sqref="R12 S25" xr:uid="{3FBA0DAB-7ADE-4023-AFBA-3E4FAE4258F8}">
      <formula1>$U$9:$U$14</formula1>
    </dataValidation>
    <dataValidation type="list" allowBlank="1" showInputMessage="1" showErrorMessage="1" sqref="R20 R25 S62" xr:uid="{4BFE638C-A0FB-4A12-9F51-DCE7B1B587A2}">
      <formula1>$U$18:$U$20</formula1>
    </dataValidation>
    <dataValidation type="list" allowBlank="1" showInputMessage="1" showErrorMessage="1" sqref="R57 R62 S30" xr:uid="{CD692648-A3D6-4976-BB3B-6A5A4502AAEF}">
      <formula1>$V$30:$V$34</formula1>
    </dataValidation>
    <dataValidation type="list" allowBlank="1" showInputMessage="1" showErrorMessage="1" sqref="R30" xr:uid="{5260DB20-0E4A-4B80-ADFB-BB0F52826D10}">
      <formula1>$W$30:$W$34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F30B-CDB7-498E-B0DB-E776A67FB5F3}">
  <dimension ref="A1"/>
  <sheetViews>
    <sheetView workbookViewId="0">
      <selection activeCell="E6" sqref="E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Maitraya Dey</cp:lastModifiedBy>
  <dcterms:created xsi:type="dcterms:W3CDTF">2025-11-28T09:29:24Z</dcterms:created>
  <dcterms:modified xsi:type="dcterms:W3CDTF">2026-09-29T16:57:00Z</dcterms:modified>
</cp:coreProperties>
</file>