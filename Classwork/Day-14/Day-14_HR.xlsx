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nudip\Classwork\Day-14\"/>
    </mc:Choice>
  </mc:AlternateContent>
  <xr:revisionPtr revIDLastSave="0" documentId="13_ncr:1_{34E0A7AC-989E-4094-AB09-644CC1270F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<sst xmlns="http://schemas.openxmlformats.org/spreadsheetml/2006/main" count="5539" uniqueCount="1526">
  <si>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</si>
  <si>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</si>
  <si>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</si>
  <si>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</si>
  <si>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</si>
  <si>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</si>
  <si>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</si>
  <si>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</si>
  <si>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</si>
  <si>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</si>
  <si>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</si>
  <si>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</si>
  <si>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</si>
  <si>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</si>
  <si>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</si>
  <si>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</si>
  <si>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</si>
  <si>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</si>
  <si>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</si>
  <si>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</si>
  <si>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</si>
  <si>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</si>
  <si>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</si>
  <si>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</si>
  <si>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</si>
  <si>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</si>
  <si>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</si>
  <si>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</si>
  <si>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</si>
  <si>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</si>
  <si>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</si>
  <si>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</si>
  <si>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</si>
  <si>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</si>
  <si>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</si>
  <si>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</si>
  <si>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</si>
  <si>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</si>
  <si>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</si>
  <si>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</si>
  <si>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</si>
  <si>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</si>
  <si>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</si>
  <si>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</si>
  <si>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</si>
  <si>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</si>
  <si>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</si>
  <si>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</si>
  <si>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</si>
  <si>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</si>
  <si>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</si>
  <si>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</si>
  <si>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</si>
  <si>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</si>
  <si>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</si>
  <si>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</si>
  <si>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</si>
  <si>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</si>
  <si>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</si>
  <si>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</si>
  <si>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</si>
  <si>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</si>
  <si>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</si>
  <si>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</si>
  <si>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</si>
  <si>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</si>
  <si>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</si>
  <si>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</si>
  <si>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</si>
  <si>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</si>
  <si>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</si>
  <si>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</si>
  <si>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</si>
  <si>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</si>
  <si>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</si>
  <si>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</si>
  <si>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</si>
  <si>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</si>
  <si>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</si>
  <si>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</si>
  <si>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</si>
  <si>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</si>
  <si>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</si>
  <si>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</si>
  <si>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</si>
  <si>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</si>
  <si>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</si>
  <si>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</si>
  <si>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</si>
  <si>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</si>
  <si>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</si>
  <si>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</si>
  <si>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</si>
  <si>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</si>
  <si>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</si>
  <si>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</si>
  <si>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</si>
  <si>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</si>
  <si>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</si>
  <si>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</si>
  <si>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</si>
  <si>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</si>
  <si>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</si>
  <si>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</si>
  <si>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</si>
  <si>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</si>
  <si>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</si>
  <si>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</si>
  <si>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</si>
  <si>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</si>
  <si>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</si>
  <si>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</si>
  <si>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</si>
  <si>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</si>
  <si>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</si>
  <si>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</si>
  <si>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</si>
  <si>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</si>
  <si>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</si>
  <si>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</si>
  <si>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</si>
  <si>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</si>
  <si>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</si>
  <si>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</si>
  <si>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</si>
  <si>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</si>
  <si>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</si>
  <si>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</si>
  <si>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</si>
  <si>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</si>
  <si>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</si>
  <si>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</si>
  <si>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</si>
  <si>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</si>
  <si>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</si>
  <si>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</si>
  <si>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</si>
  <si>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</si>
  <si>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</si>
  <si>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</si>
  <si>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</si>
  <si>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</si>
  <si>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</si>
  <si>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</si>
  <si>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</si>
  <si>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</si>
  <si>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</si>
  <si>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</si>
  <si>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</si>
  <si>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</si>
  <si>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</si>
  <si>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</si>
  <si>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</si>
  <si>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</si>
  <si>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</si>
  <si>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</si>
  <si>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</si>
  <si>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</si>
  <si>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</si>
  <si>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</si>
  <si>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</si>
  <si>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</si>
  <si>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</si>
  <si>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</si>
  <si>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</si>
  <si>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</si>
  <si>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</si>
  <si>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</si>
  <si>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</si>
  <si>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</si>
  <si>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</si>
  <si>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</si>
  <si>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</si>
  <si>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</si>
  <si>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</si>
  <si>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</si>
  <si>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</si>
  <si>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</si>
  <si>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</si>
  <si>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</si>
  <si>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</si>
  <si>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</si>
  <si>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</si>
  <si>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</si>
  <si>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</si>
  <si>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</si>
  <si>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</si>
  <si>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</si>
  <si>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</si>
  <si>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</si>
  <si>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</si>
  <si>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</si>
  <si>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</si>
  <si>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</si>
  <si>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</si>
  <si>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</si>
  <si>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</si>
  <si>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</si>
  <si>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</si>
  <si>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</si>
  <si>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</si>
  <si>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</si>
  <si>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</si>
  <si>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</si>
  <si>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</si>
  <si>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</si>
  <si>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</si>
  <si>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</si>
  <si>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</si>
  <si>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</si>
  <si>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</si>
  <si>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</si>
  <si>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</si>
  <si>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</si>
  <si>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</si>
  <si>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</si>
  <si>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</si>
  <si>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</si>
  <si>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</si>
  <si>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</si>
  <si>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</si>
  <si>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</si>
  <si>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</si>
  <si>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</si>
  <si>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</si>
  <si>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</si>
  <si>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</si>
  <si>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</si>
  <si>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</si>
  <si>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</si>
  <si>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</si>
  <si>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</si>
  <si>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</si>
  <si>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</si>
  <si>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</si>
  <si>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</si>
  <si>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</si>
  <si>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</si>
  <si>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</si>
  <si>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</si>
  <si>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</si>
  <si>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</si>
  <si>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</si>
  <si>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</si>
  <si>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</si>
  <si>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</si>
  <si>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</si>
  <si>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</si>
  <si>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</si>
  <si>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</si>
  <si>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</si>
  <si>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</si>
  <si>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</si>
  <si>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</si>
  <si>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</si>
  <si>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</si>
  <si>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</si>
  <si>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</si>
  <si>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</si>
  <si>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</si>
  <si>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</si>
  <si>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</si>
  <si>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</si>
  <si>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</si>
  <si>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</si>
  <si>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</si>
  <si>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</si>
  <si>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</si>
  <si>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</si>
  <si>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</si>
  <si>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</si>
  <si>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</si>
  <si>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</si>
  <si>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</si>
  <si>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</si>
  <si>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</si>
  <si>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</si>
  <si>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</si>
  <si>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</si>
  <si>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</si>
  <si>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</si>
  <si>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</si>
  <si>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</si>
  <si>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</si>
  <si>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</si>
  <si>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</si>
  <si>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</si>
  <si>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</si>
  <si>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</si>
  <si>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</si>
  <si>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</si>
  <si>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</si>
  <si>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</si>
  <si>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</si>
  <si>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</si>
  <si>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</si>
  <si>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</si>
  <si>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</si>
  <si>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</si>
  <si>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</si>
  <si>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</si>
  <si>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</si>
  <si>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</si>
  <si>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</si>
  <si>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</si>
  <si>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</si>
  <si>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</si>
  <si>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</si>
  <si>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</si>
  <si>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</si>
  <si>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</si>
  <si>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</si>
  <si>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</si>
  <si>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</si>
  <si>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</si>
  <si>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</si>
  <si>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</si>
  <si>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</si>
  <si>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</si>
  <si>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</si>
  <si>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</si>
  <si>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</si>
  <si>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</si>
  <si>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</si>
  <si>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</si>
  <si>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</si>
  <si>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</si>
  <si>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</si>
  <si>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</si>
  <si>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</si>
  <si>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</si>
  <si>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</si>
  <si>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</si>
  <si>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</si>
  <si>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</si>
  <si>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</si>
  <si>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</si>
  <si>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</si>
  <si>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</si>
  <si>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</si>
  <si>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</si>
  <si>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</si>
  <si>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</si>
  <si>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</si>
  <si>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</si>
  <si>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</si>
  <si>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</si>
  <si>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</si>
  <si>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</si>
  <si>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</si>
  <si>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</si>
  <si>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</si>
  <si>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</si>
  <si>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</si>
  <si>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</si>
  <si>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</si>
  <si>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</si>
  <si>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</si>
  <si>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</si>
  <si>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</si>
  <si>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</si>
  <si>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</si>
  <si>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</si>
  <si>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</si>
  <si>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</si>
  <si>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</si>
  <si>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</si>
  <si>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</si>
  <si>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</si>
  <si>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</si>
  <si>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</si>
  <si>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</si>
  <si>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</si>
  <si>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</si>
  <si>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</si>
  <si>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</si>
  <si>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</si>
  <si>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</si>
  <si>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</si>
  <si>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</si>
  <si>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</si>
  <si>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</si>
  <si>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</si>
  <si>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</si>
  <si>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</si>
  <si>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</si>
  <si>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</si>
  <si>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</si>
  <si>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</si>
  <si>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</si>
  <si>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</si>
  <si>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</si>
  <si>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</si>
  <si>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</si>
  <si>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</si>
  <si>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</si>
  <si>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</si>
  <si>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</si>
  <si>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</si>
  <si>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</si>
  <si>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</si>
  <si>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</si>
  <si>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</si>
  <si>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</si>
  <si>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</si>
  <si>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</si>
  <si>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</si>
  <si>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</si>
  <si>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</si>
  <si>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</si>
  <si>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</si>
  <si>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</si>
  <si>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</si>
  <si>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</si>
  <si>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</si>
  <si>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</si>
  <si>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</si>
  <si>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</si>
  <si>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</si>
  <si>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</si>
  <si>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</si>
  <si>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</si>
  <si>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</si>
  <si>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</si>
  <si>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</si>
  <si>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</si>
  <si>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</si>
  <si>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</si>
  <si>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</si>
  <si>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</si>
  <si>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</si>
  <si>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</si>
  <si>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</si>
  <si>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</si>
  <si>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</si>
  <si>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</si>
  <si>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</si>
  <si>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</si>
  <si>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</si>
  <si>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</si>
  <si>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</si>
  <si>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</si>
  <si>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</si>
  <si>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</si>
  <si>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</si>
  <si>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</si>
  <si>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</si>
  <si>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</si>
  <si>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</si>
  <si>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</si>
  <si>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</si>
  <si>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</si>
  <si>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</si>
  <si>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</si>
  <si>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</si>
  <si>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</si>
  <si>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</si>
  <si>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</si>
  <si>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</si>
  <si>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</si>
  <si>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</si>
  <si>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</si>
  <si>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</si>
  <si>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</si>
  <si>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</si>
  <si>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</si>
  <si>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</si>
  <si>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</si>
  <si>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</si>
  <si>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</si>
  <si>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</si>
  <si>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</si>
  <si>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</si>
  <si>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</si>
  <si>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</si>
  <si>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</si>
  <si>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</si>
  <si>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</si>
  <si>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</si>
  <si>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</si>
  <si>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</si>
  <si>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</si>
  <si>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</si>
  <si>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</si>
  <si>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</si>
  <si>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</si>
  <si>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</si>
  <si>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</si>
  <si>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</si>
  <si>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</si>
  <si>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</si>
  <si>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</si>
  <si>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</si>
  <si>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</si>
  <si>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</si>
  <si>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</si>
  <si>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</si>
  <si>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</si>
  <si>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</si>
  <si>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</si>
  <si>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</si>
  <si>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</si>
  <si>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</si>
  <si>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</si>
  <si>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</si>
  <si>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</si>
  <si>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</si>
  <si>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</si>
  <si>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</si>
  <si>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</si>
  <si>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</si>
  <si>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</si>
  <si>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</si>
  <si>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</si>
  <si>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</si>
  <si>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</si>
  <si>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</si>
  <si>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</si>
  <si>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</si>
  <si>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</si>
  <si>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</si>
  <si>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</si>
  <si>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</si>
  <si>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</si>
  <si>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</si>
  <si>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</si>
  <si>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</si>
  <si>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</si>
  <si>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</si>
  <si>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</si>
  <si>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</si>
  <si>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</si>
  <si>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</si>
  <si>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</si>
  <si>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</si>
  <si>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</si>
  <si>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</si>
  <si>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</si>
  <si>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</si>
  <si>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</si>
  <si>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</si>
  <si>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</si>
  <si>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</si>
  <si>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</si>
  <si>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</si>
  <si>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</si>
  <si>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</si>
  <si>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</si>
  <si>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</si>
  <si>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</si>
  <si>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</si>
  <si>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</si>
  <si>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</si>
  <si>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</si>
  <si>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</si>
  <si>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</si>
  <si>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</si>
  <si>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</si>
  <si>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</si>
  <si>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</si>
  <si>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</si>
  <si>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</si>
  <si>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</si>
  <si>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</si>
  <si>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</si>
  <si>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</si>
  <si>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</si>
  <si>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</si>
  <si>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</si>
  <si>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</si>
  <si>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</si>
  <si>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</si>
  <si>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</si>
  <si>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</si>
  <si>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</si>
  <si>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</si>
  <si>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</si>
  <si>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</si>
  <si>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</si>
  <si>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</si>
  <si>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</si>
  <si>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</si>
  <si>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</si>
  <si>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</si>
  <si>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</si>
  <si>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</si>
  <si>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</si>
  <si>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</si>
  <si>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</si>
  <si>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</si>
  <si>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</si>
  <si>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</si>
  <si>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</si>
  <si>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</si>
  <si>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</si>
  <si>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</si>
  <si>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</si>
  <si>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</si>
  <si>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</si>
  <si>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</si>
  <si>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</si>
  <si>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</si>
  <si>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</si>
  <si>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</si>
  <si>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</si>
  <si>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</si>
  <si>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</si>
  <si>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</si>
  <si>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</si>
  <si>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</si>
  <si>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</si>
  <si>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</si>
  <si>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</si>
  <si>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</si>
  <si>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</si>
  <si>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</si>
  <si>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</si>
  <si>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</si>
  <si>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</si>
  <si>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</si>
  <si>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</si>
  <si>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</si>
  <si>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</si>
  <si>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</si>
  <si>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</si>
  <si>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</si>
  <si>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</si>
  <si>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</si>
  <si>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</si>
  <si>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</si>
  <si>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</si>
  <si>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</si>
  <si>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</si>
  <si>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</si>
  <si>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</si>
  <si>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</si>
  <si>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</si>
  <si>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</si>
  <si>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</si>
  <si>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</si>
  <si>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</si>
  <si>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</si>
  <si>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</si>
  <si>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</si>
  <si>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</si>
  <si>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</si>
  <si>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</si>
  <si>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</si>
  <si>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</si>
  <si>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</si>
  <si>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</si>
  <si>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</si>
  <si>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</si>
  <si>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</si>
  <si>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</si>
  <si>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</si>
  <si>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</si>
  <si>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</si>
  <si>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</si>
  <si>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</si>
  <si>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</si>
  <si>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</si>
  <si>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</si>
  <si>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</si>
  <si>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</si>
  <si>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</si>
  <si>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</si>
  <si>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</si>
  <si>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</si>
  <si>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</si>
  <si>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</si>
  <si>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</si>
  <si>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</si>
  <si>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</si>
  <si>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</si>
  <si>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</si>
  <si>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</si>
  <si>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</si>
  <si>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</si>
  <si>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</si>
  <si>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</si>
  <si>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</si>
  <si>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</si>
  <si>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</si>
  <si>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</si>
  <si>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</si>
  <si>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</si>
  <si>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</si>
  <si>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</si>
  <si>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</si>
  <si>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</si>
  <si>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</si>
  <si>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</si>
  <si>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</si>
  <si>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</si>
  <si>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</si>
  <si>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</si>
  <si>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</si>
  <si>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</si>
  <si>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</si>
  <si>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</si>
  <si>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</si>
  <si>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</si>
  <si>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</si>
  <si>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</si>
  <si>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</si>
  <si>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</si>
  <si>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</si>
  <si>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</si>
  <si>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</si>
  <si>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</si>
  <si>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</si>
  <si>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</si>
  <si>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</si>
  <si>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</si>
  <si>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</si>
  <si>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</si>
  <si>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</si>
  <si>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</si>
  <si>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</si>
  <si>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</si>
  <si>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</si>
  <si>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</si>
  <si>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</si>
  <si>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</si>
  <si>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</si>
  <si>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</si>
  <si>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</si>
  <si>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</si>
  <si>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</si>
  <si>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</si>
  <si>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</si>
  <si>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</si>
  <si>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</si>
  <si>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</si>
  <si>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</si>
  <si>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</si>
  <si>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</si>
  <si>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</si>
  <si>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</si>
  <si>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</si>
  <si>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</si>
  <si>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</si>
  <si>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</si>
  <si>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</si>
  <si>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</si>
  <si>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</si>
  <si>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</si>
  <si>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</si>
  <si>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</si>
  <si>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</si>
  <si>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</si>
  <si>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</si>
  <si>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</si>
  <si>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</si>
  <si>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</si>
  <si>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</si>
  <si>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</si>
  <si>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</si>
  <si>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</si>
  <si>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</si>
  <si>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</si>
  <si>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</si>
  <si>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</si>
  <si>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</si>
  <si>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</si>
  <si>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</si>
  <si>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</si>
  <si>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</si>
  <si>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</si>
  <si>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</si>
  <si>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</si>
  <si>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</si>
  <si>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</si>
  <si>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</si>
  <si>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</si>
  <si>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</si>
  <si>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</si>
  <si>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</si>
  <si>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</si>
  <si>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</si>
  <si>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</si>
  <si>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</si>
  <si>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</si>
  <si>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</si>
  <si>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</si>
  <si>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</si>
  <si>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</si>
  <si>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</si>
  <si>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</si>
  <si>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</si>
  <si>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</si>
  <si>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</si>
  <si>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</si>
  <si>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</si>
  <si>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</si>
  <si>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</si>
  <si>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</si>
  <si>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</si>
  <si>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</si>
  <si>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</si>
  <si>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</si>
  <si>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</si>
  <si>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</si>
  <si>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</si>
  <si>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</si>
  <si>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</si>
  <si>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</si>
  <si>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</si>
  <si>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</si>
  <si>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</si>
  <si>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</si>
  <si>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</si>
  <si>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</si>
  <si>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</si>
  <si>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</si>
  <si>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</si>
  <si>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</si>
  <si>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</si>
  <si>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</si>
  <si>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</si>
  <si>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</si>
  <si>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</si>
  <si>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</si>
  <si>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</si>
  <si>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</si>
  <si>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</si>
  <si>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</si>
  <si>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</si>
  <si>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</si>
  <si>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</si>
  <si>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</si>
  <si>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</si>
  <si>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</si>
  <si>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</si>
  <si>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</si>
  <si>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</si>
  <si>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</si>
  <si>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</si>
  <si>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</si>
  <si>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</si>
  <si>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</si>
  <si>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</si>
  <si>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</si>
  <si>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</si>
  <si>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</si>
  <si>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</si>
  <si>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</si>
  <si>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</si>
  <si>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</si>
  <si>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</si>
  <si>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</si>
  <si>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</si>
  <si>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</si>
  <si>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</si>
  <si>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</si>
  <si>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</si>
  <si>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</si>
  <si>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</si>
  <si>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</si>
  <si>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</si>
  <si>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</si>
  <si>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</si>
  <si>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</si>
  <si>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</si>
  <si>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</si>
  <si>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</si>
  <si>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</si>
  <si>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</si>
  <si>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</si>
  <si>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</si>
  <si>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</si>
  <si>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</si>
  <si>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</si>
  <si>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</si>
  <si>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</si>
  <si>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</si>
  <si>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</si>
  <si>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</si>
  <si>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</si>
  <si>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</si>
  <si>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</si>
  <si>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</si>
  <si>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</si>
  <si>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</si>
  <si>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</si>
  <si>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</si>
  <si>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</si>
  <si>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</si>
  <si>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</si>
  <si>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</si>
  <si>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</si>
  <si>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</si>
  <si>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</si>
  <si>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</si>
  <si>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</si>
  <si>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</si>
  <si>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</si>
  <si>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</si>
  <si>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</si>
  <si>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</si>
  <si>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</si>
  <si>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</si>
  <si>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</si>
  <si>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</si>
  <si>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</si>
  <si>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</si>
  <si>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</si>
  <si>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</si>
  <si>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</si>
  <si>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</si>
  <si>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</si>
  <si>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</si>
  <si>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</si>
  <si>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</si>
  <si>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</si>
  <si>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</si>
  <si>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</si>
  <si>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</si>
  <si>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</si>
  <si>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</si>
  <si>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</si>
  <si>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</si>
  <si>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</si>
  <si>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</si>
  <si>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</si>
  <si>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</si>
  <si>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</si>
  <si>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</si>
  <si>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</si>
  <si>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</si>
  <si>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</si>
  <si>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</si>
  <si>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</si>
  <si>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</si>
  <si>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</si>
  <si>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</si>
  <si>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</si>
  <si>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</si>
  <si>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</si>
  <si>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</si>
  <si>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</si>
  <si>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</si>
  <si>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</si>
  <si>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</si>
  <si>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</si>
  <si>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</si>
  <si>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</si>
  <si>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</si>
  <si>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</si>
  <si>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</si>
  <si>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</si>
  <si>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</si>
  <si>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</si>
  <si>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</si>
  <si>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</si>
  <si>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</si>
  <si>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</si>
  <si>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</si>
  <si>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</si>
  <si>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</si>
  <si>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</si>
  <si>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</si>
  <si>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</si>
  <si>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</si>
  <si>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</si>
  <si>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</si>
  <si>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</si>
  <si>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</si>
  <si>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</si>
  <si>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</si>
  <si>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</si>
  <si>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</si>
  <si>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</si>
  <si>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</si>
  <si>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</si>
  <si>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</si>
  <si>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</si>
  <si>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</si>
  <si>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</si>
  <si>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</si>
  <si>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</si>
  <si>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</si>
  <si>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</si>
  <si>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</si>
  <si>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</si>
  <si>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</si>
  <si>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</si>
  <si>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</si>
  <si>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</si>
  <si>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</si>
  <si>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</si>
  <si>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</si>
  <si>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</si>
  <si>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</si>
  <si>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</si>
  <si>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</si>
  <si>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</si>
  <si>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</si>
  <si>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</si>
  <si>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</si>
  <si>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</si>
  <si>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</si>
  <si>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</si>
  <si>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</si>
  <si>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</si>
  <si>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</si>
  <si>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</si>
  <si>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</si>
  <si>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</si>
  <si>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</si>
  <si>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</si>
  <si>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</si>
  <si>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</si>
  <si>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</si>
  <si>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</si>
  <si>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</si>
  <si>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</si>
  <si>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</si>
  <si>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</si>
  <si>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</si>
  <si>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</si>
  <si>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</si>
  <si>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</si>
  <si>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</si>
  <si>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</si>
  <si>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</si>
  <si>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</si>
  <si>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</si>
  <si>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</si>
  <si>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</si>
  <si>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</si>
  <si>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</si>
  <si>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</si>
  <si>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</si>
  <si>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</si>
  <si>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</si>
  <si>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</si>
  <si>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</si>
  <si>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</si>
  <si>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</si>
  <si>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</si>
  <si>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</si>
  <si>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</si>
  <si>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</si>
  <si>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</si>
  <si>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</si>
  <si>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</si>
  <si>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</si>
  <si>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</si>
  <si>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</si>
  <si>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</si>
  <si>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</si>
  <si>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</si>
  <si>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</si>
  <si>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</si>
  <si>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</si>
  <si>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</si>
  <si>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</si>
  <si>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</si>
  <si>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</si>
  <si>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</si>
  <si>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</si>
  <si>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</si>
  <si>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</si>
  <si>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</si>
  <si>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</si>
  <si>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</si>
  <si>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</si>
  <si>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</si>
  <si>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</si>
  <si>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</si>
  <si>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</si>
  <si>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</si>
  <si>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</si>
  <si>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</si>
  <si>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</si>
  <si>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</si>
  <si>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</si>
  <si>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</si>
  <si>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</si>
  <si>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</si>
  <si>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</si>
  <si>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</si>
  <si>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</si>
  <si>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</si>
  <si>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</si>
  <si>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</si>
  <si>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</si>
  <si>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</si>
  <si>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</si>
  <si>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</si>
  <si>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</si>
  <si>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</si>
  <si>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</si>
  <si>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</si>
  <si>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</si>
  <si>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</si>
  <si>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</si>
  <si>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</si>
  <si>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</si>
  <si>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</si>
  <si>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</si>
  <si>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</si>
  <si>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</si>
  <si>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</si>
  <si>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</si>
  <si>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</si>
  <si>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</si>
  <si>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</si>
  <si>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</si>
  <si>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</si>
  <si>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</si>
  <si>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</si>
  <si>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</si>
  <si>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</si>
  <si>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</si>
  <si>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</si>
  <si>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</si>
  <si>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</si>
  <si>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</si>
  <si>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</si>
  <si>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</si>
  <si>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</si>
  <si>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</si>
  <si>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</si>
  <si>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</si>
  <si>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</si>
  <si>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</si>
  <si>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</si>
  <si>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</si>
  <si>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</si>
  <si>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</si>
  <si>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</si>
  <si>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</si>
  <si>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</si>
  <si>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</si>
  <si>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</si>
  <si>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</si>
  <si>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</si>
  <si>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</si>
  <si>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</si>
  <si>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</si>
  <si>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</si>
  <si>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</si>
  <si>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</si>
  <si>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</si>
  <si>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</si>
  <si>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</si>
  <si>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</si>
  <si>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</si>
  <si>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</si>
  <si>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</si>
  <si>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</si>
  <si>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</si>
  <si>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</si>
  <si>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</si>
  <si>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</si>
  <si>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</si>
  <si>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</si>
  <si>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</si>
  <si>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</si>
  <si>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</si>
  <si>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</si>
  <si>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</si>
  <si>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</si>
  <si>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</si>
  <si>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</si>
  <si>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</si>
  <si>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</si>
  <si>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</si>
  <si>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</si>
  <si>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</si>
  <si>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</si>
  <si>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</si>
  <si>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</si>
  <si>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</si>
  <si>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</si>
  <si>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</si>
  <si>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</si>
  <si>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</si>
  <si>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</si>
  <si>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</si>
  <si>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</si>
  <si>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</si>
  <si>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</si>
  <si>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</si>
  <si>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</si>
  <si>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</si>
  <si>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</si>
  <si>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</si>
  <si>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</si>
  <si>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</si>
  <si>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</si>
  <si>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</si>
  <si>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</si>
  <si>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</si>
  <si>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</si>
  <si>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</si>
  <si>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</si>
  <si>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</si>
  <si>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</si>
  <si>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</si>
  <si>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</si>
  <si>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</si>
  <si>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</si>
  <si>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</si>
  <si>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</si>
  <si>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</si>
  <si>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</si>
  <si>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</si>
  <si>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</si>
  <si>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</si>
  <si>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</si>
  <si>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</si>
  <si>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</si>
  <si>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</si>
  <si>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</si>
  <si>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</si>
  <si>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</si>
  <si>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</si>
  <si>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</si>
  <si>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</si>
  <si>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</si>
  <si>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</si>
  <si>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</si>
  <si>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</si>
  <si>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</si>
  <si>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</si>
  <si>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</si>
  <si>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</si>
  <si>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</si>
  <si>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</si>
  <si>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</si>
  <si>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</si>
  <si>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</si>
  <si>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</si>
  <si>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</si>
  <si>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</si>
  <si>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</si>
  <si>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</si>
  <si>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</si>
  <si>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</si>
  <si>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</si>
  <si>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</si>
  <si>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</si>
  <si>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</si>
  <si>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</si>
  <si>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</si>
  <si>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</si>
  <si>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</si>
  <si>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</si>
  <si>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</si>
  <si>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</si>
  <si>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</si>
  <si>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</si>
  <si>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</si>
  <si>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</si>
  <si>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</si>
  <si>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</si>
  <si>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</si>
  <si>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</si>
  <si>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</si>
  <si>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</si>
  <si>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</si>
  <si>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</si>
  <si>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</si>
  <si>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</si>
  <si>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</si>
  <si>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</si>
  <si>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</si>
  <si>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</si>
  <si>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</si>
  <si>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</si>
  <si>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</si>
  <si>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</si>
  <si>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</si>
  <si>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</si>
  <si>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</si>
  <si>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</si>
  <si>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</si>
  <si>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</si>
  <si>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</si>
  <si>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</si>
  <si>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</si>
  <si>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</si>
  <si>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</si>
  <si>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</si>
  <si>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</si>
  <si>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</si>
  <si>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</si>
  <si>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</si>
  <si>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</si>
  <si>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</si>
  <si>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</si>
  <si>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</si>
  <si>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</si>
  <si>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</si>
  <si>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</si>
  <si>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</si>
  <si>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</si>
  <si>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</si>
  <si>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</si>
  <si>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</si>
  <si>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</si>
  <si>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</si>
  <si>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</si>
  <si>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</si>
  <si>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</si>
  <si>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</si>
  <si>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</si>
  <si>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</si>
  <si>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</si>
  <si>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</si>
  <si>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</si>
  <si>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</si>
  <si>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</si>
  <si>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</si>
  <si>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</si>
  <si>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</si>
  <si>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</si>
  <si>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</si>
  <si>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</si>
  <si>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</si>
  <si>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</si>
  <si>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</si>
  <si>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</si>
  <si>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</si>
  <si>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</si>
  <si>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</si>
  <si>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</si>
  <si>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</si>
  <si>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</si>
  <si>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</si>
  <si>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</si>
  <si>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</si>
  <si>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</si>
  <si>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</si>
  <si>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</si>
  <si>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</si>
  <si>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</si>
  <si>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</si>
  <si>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</si>
  <si>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</si>
  <si>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</si>
  <si>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</si>
  <si>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</si>
  <si>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</si>
  <si>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</si>
  <si>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</si>
  <si>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</si>
  <si>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</si>
  <si>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</si>
  <si>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</si>
  <si>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</si>
  <si>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</si>
  <si>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</si>
  <si>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</si>
  <si>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</si>
  <si>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</si>
  <si>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</si>
  <si>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</si>
  <si>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</si>
  <si>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</si>
  <si>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</si>
  <si>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</si>
  <si>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</si>
  <si>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</si>
  <si>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</si>
  <si>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</si>
  <si>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</si>
  <si>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</si>
  <si>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</si>
  <si>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</si>
  <si>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</si>
  <si>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</si>
  <si>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</si>
  <si>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</si>
  <si>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</si>
  <si>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</si>
  <si>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</si>
  <si>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</si>
  <si>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</si>
  <si>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</si>
  <si>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</si>
  <si>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</si>
  <si>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</si>
  <si>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</si>
  <si>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</si>
  <si>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</si>
  <si>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</si>
  <si>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</si>
  <si>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</si>
  <si>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</si>
  <si>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</si>
  <si>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</si>
  <si>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</si>
  <si>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</si>
  <si>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</si>
  <si>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</si>
  <si>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</si>
  <si>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</si>
  <si>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</si>
  <si>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</si>
  <si>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</si>
  <si>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</si>
  <si>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</si>
  <si>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</si>
  <si>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</si>
  <si>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</si>
  <si>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</si>
  <si>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</si>
  <si>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</si>
  <si>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</si>
  <si>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</si>
  <si>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</si>
  <si>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</si>
  <si>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</si>
  <si>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</si>
  <si>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</si>
  <si>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</si>
  <si>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</si>
  <si>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</si>
  <si>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</si>
  <si>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</si>
  <si>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</si>
  <si>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</si>
  <si>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</si>
  <si>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</si>
  <si>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</si>
  <si>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</si>
  <si>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</si>
  <si>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</si>
  <si>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</si>
  <si>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</si>
  <si>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</si>
  <si>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</si>
  <si>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</si>
  <si>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</si>
  <si>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</si>
  <si>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</si>
  <si>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</si>
  <si>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</si>
  <si>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</si>
  <si>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</si>
  <si>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</si>
  <si>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</si>
  <si>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</si>
  <si>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</si>
  <si>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</si>
  <si>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</si>
  <si>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</si>
  <si>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</si>
  <si>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</si>
  <si>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</si>
  <si>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</si>
  <si>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</si>
  <si>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</si>
  <si>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</si>
  <si>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</si>
  <si>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</si>
  <si>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</si>
  <si>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</si>
  <si>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</si>
  <si>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</si>
  <si>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</si>
  <si>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</si>
  <si>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</si>
  <si>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</si>
  <si>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</si>
  <si>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</si>
  <si>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</si>
  <si>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</si>
  <si>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</si>
  <si>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</si>
  <si>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</si>
  <si>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</si>
  <si>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</si>
  <si>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</si>
  <si>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</si>
  <si>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</si>
  <si>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</si>
  <si>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</si>
  <si>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</si>
  <si>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</si>
  <si>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</si>
  <si>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</si>
  <si>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</si>
  <si>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</si>
  <si>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</si>
  <si>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</si>
  <si>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</si>
  <si>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</si>
  <si>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</si>
  <si>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</si>
  <si>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</si>
  <si>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</si>
  <si>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</si>
  <si>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</si>
  <si>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</si>
  <si>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</si>
  <si>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</si>
  <si>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</si>
  <si>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</si>
  <si>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</si>
  <si>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</si>
  <si>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</si>
  <si>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</si>
  <si>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</si>
  <si>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</si>
  <si>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</si>
  <si>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</si>
  <si>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</si>
  <si>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</si>
  <si>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</si>
  <si>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</si>
  <si>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</si>
  <si>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</si>
  <si>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</si>
  <si>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</si>
  <si>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</si>
  <si>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</si>
  <si>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</si>
  <si>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.</t>
  </si>
  <si>
    <t>Department ID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</si>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</sst>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selection activeCell="K16" sqref="K16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7.109375" bestFit="1" customWidth="1"/>
    <col min="5" max="5" width="4.21875" bestFit="1" customWidth="1"/>
    <col min="6" max="6" width="12.886718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9.109375" bestFit="1" customWidth="1"/>
    <col min="11" max="11" width="27.33203125" bestFit="1" customWidth="1"/>
    <col min="12" max="12" width="7.44140625" bestFit="1" customWidth="1"/>
    <col min="18" max="18" width="11.6640625" customWidth="1"/>
    <col min="19" max="19" width="14.109375" customWidth="1"/>
    <col min="20" max="20" width="13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1520</v>
      </c>
    </row>
    <row r="2" spans="1:20" x14ac:dyDescent="0.3">
      <c r="A2" s="4" t="s">
        <v>12</v>
      </c>
      <c r="B2" s="4" t="s">
        <v>13</v>
      </c>
      <c r="C2" s="4" t="s">
        <v>14</v>
      </c>
      <c r="D2" s="4" t="s">
        <v>15</v>
      </c>
      <c r="E2" s="4">
        <v>30</v>
      </c>
      <c r="F2" s="4" t="s">
        <v>16</v>
      </c>
      <c r="G2" s="4" t="s">
        <v>17</v>
      </c>
      <c r="H2" s="4" t="s">
        <v>18</v>
      </c>
      <c r="I2" s="4">
        <v>105257</v>
      </c>
      <c r="J2" s="4" t="s">
        <v>19</v>
      </c>
      <c r="K2" s="4" t="s">
        <v>20</v>
      </c>
      <c r="L2" s="4" t="s">
        <v>21</v>
      </c>
      <c r="M2" s="1">
        <f>VLOOKUP(Employees!A2,Performance!A1:E501,3,0)</f>
        <v>1</v>
      </c>
    </row>
    <row r="3" spans="1:20" x14ac:dyDescent="0.3">
      <c r="A3" s="5" t="s">
        <v>22</v>
      </c>
      <c r="B3" s="5" t="s">
        <v>13</v>
      </c>
      <c r="C3" s="5" t="s">
        <v>23</v>
      </c>
      <c r="D3" s="5" t="s">
        <v>24</v>
      </c>
      <c r="E3" s="5">
        <v>48</v>
      </c>
      <c r="F3" s="5" t="s">
        <v>25</v>
      </c>
      <c r="G3" s="5" t="s">
        <v>26</v>
      </c>
      <c r="H3" s="5" t="s">
        <v>27</v>
      </c>
      <c r="I3" s="5">
        <v>97903</v>
      </c>
      <c r="J3" s="5" t="s">
        <v>19</v>
      </c>
      <c r="K3" s="5" t="s">
        <v>28</v>
      </c>
      <c r="L3" s="5" t="s">
        <v>21</v>
      </c>
      <c r="M3" s="1">
        <f>VLOOKUP(Employees!A3,Performance!A2:E502,3,0)</f>
        <v>4</v>
      </c>
    </row>
    <row r="4" spans="1:20" x14ac:dyDescent="0.3">
      <c r="A4" s="4" t="s">
        <v>29</v>
      </c>
      <c r="B4" s="4" t="s">
        <v>30</v>
      </c>
      <c r="C4" s="4" t="s">
        <v>23</v>
      </c>
      <c r="D4" s="4" t="s">
        <v>24</v>
      </c>
      <c r="E4" s="4">
        <v>48</v>
      </c>
      <c r="F4" s="4" t="s">
        <v>31</v>
      </c>
      <c r="G4" s="4" t="s">
        <v>32</v>
      </c>
      <c r="H4" s="4" t="s">
        <v>33</v>
      </c>
      <c r="I4" s="4">
        <v>73429</v>
      </c>
      <c r="J4" s="4" t="s">
        <v>34</v>
      </c>
      <c r="K4" s="4" t="s">
        <v>35</v>
      </c>
      <c r="L4" s="4" t="s">
        <v>36</v>
      </c>
      <c r="M4" s="1">
        <f>VLOOKUP(Employees!A4,Performance!A3:E503,3,0)</f>
        <v>2</v>
      </c>
    </row>
    <row r="5" spans="1:20" x14ac:dyDescent="0.3">
      <c r="A5" s="5" t="s">
        <v>37</v>
      </c>
      <c r="B5" s="5" t="s">
        <v>38</v>
      </c>
      <c r="C5" s="5" t="s">
        <v>14</v>
      </c>
      <c r="D5" s="5" t="s">
        <v>15</v>
      </c>
      <c r="E5" s="5">
        <v>50</v>
      </c>
      <c r="F5" s="5" t="s">
        <v>39</v>
      </c>
      <c r="G5" s="5" t="s">
        <v>40</v>
      </c>
      <c r="H5" s="5" t="s">
        <v>41</v>
      </c>
      <c r="I5" s="5">
        <v>99336</v>
      </c>
      <c r="J5" s="5" t="s">
        <v>34</v>
      </c>
      <c r="K5" s="5" t="s">
        <v>42</v>
      </c>
      <c r="L5" s="5" t="s">
        <v>21</v>
      </c>
      <c r="M5" s="1">
        <f>VLOOKUP(Employees!A5,Performance!A4:E504,3,0)</f>
        <v>4</v>
      </c>
    </row>
    <row r="6" spans="1:20" x14ac:dyDescent="0.3">
      <c r="A6" s="4" t="s">
        <v>43</v>
      </c>
      <c r="B6" s="4" t="s">
        <v>44</v>
      </c>
      <c r="C6" s="4" t="s">
        <v>45</v>
      </c>
      <c r="D6" s="4" t="s">
        <v>24</v>
      </c>
      <c r="E6" s="4">
        <v>60</v>
      </c>
      <c r="F6" s="4" t="s">
        <v>16</v>
      </c>
      <c r="G6" s="4" t="s">
        <v>32</v>
      </c>
      <c r="H6" s="4" t="s">
        <v>46</v>
      </c>
      <c r="I6" s="4">
        <v>105020</v>
      </c>
      <c r="J6" s="4" t="s">
        <v>34</v>
      </c>
      <c r="K6" s="4" t="s">
        <v>47</v>
      </c>
      <c r="L6" s="4" t="s">
        <v>21</v>
      </c>
      <c r="M6" s="1">
        <f>VLOOKUP(Employees!A6,Performance!A5:E505,3,0)</f>
        <v>2</v>
      </c>
      <c r="O6" s="6"/>
      <c r="P6" s="6"/>
      <c r="R6" s="6"/>
      <c r="S6" s="6"/>
      <c r="T6" s="6"/>
    </row>
    <row r="7" spans="1:20" x14ac:dyDescent="0.3">
      <c r="A7" s="5" t="s">
        <v>48</v>
      </c>
      <c r="B7" s="5" t="s">
        <v>49</v>
      </c>
      <c r="C7" s="5" t="s">
        <v>14</v>
      </c>
      <c r="D7" s="5" t="s">
        <v>24</v>
      </c>
      <c r="E7" s="5">
        <v>33</v>
      </c>
      <c r="F7" s="5" t="s">
        <v>50</v>
      </c>
      <c r="G7" s="5" t="s">
        <v>32</v>
      </c>
      <c r="H7" s="5" t="s">
        <v>51</v>
      </c>
      <c r="I7" s="5">
        <v>93173</v>
      </c>
      <c r="J7" s="5" t="s">
        <v>34</v>
      </c>
      <c r="K7" s="5" t="s">
        <v>52</v>
      </c>
      <c r="L7" s="5" t="s">
        <v>21</v>
      </c>
      <c r="M7" s="1">
        <f>VLOOKUP(Employees!A7,Performance!A6:E506,3,0)</f>
        <v>3</v>
      </c>
    </row>
    <row r="8" spans="1:20" x14ac:dyDescent="0.3">
      <c r="A8" s="4" t="s">
        <v>53</v>
      </c>
      <c r="B8" s="4" t="s">
        <v>54</v>
      </c>
      <c r="C8" s="4" t="s">
        <v>45</v>
      </c>
      <c r="D8" s="4" t="s">
        <v>24</v>
      </c>
      <c r="E8" s="4">
        <v>52</v>
      </c>
      <c r="F8" s="4" t="s">
        <v>39</v>
      </c>
      <c r="G8" s="4" t="s">
        <v>17</v>
      </c>
      <c r="H8" s="4" t="s">
        <v>55</v>
      </c>
      <c r="I8" s="4">
        <v>106626</v>
      </c>
      <c r="J8" s="4" t="s">
        <v>34</v>
      </c>
      <c r="K8" s="4" t="s">
        <v>56</v>
      </c>
      <c r="L8" s="4" t="s">
        <v>21</v>
      </c>
      <c r="M8" s="1">
        <f>VLOOKUP(Employees!A8,Performance!A7:E507,3,0)</f>
        <v>2</v>
      </c>
    </row>
    <row r="9" spans="1:20" x14ac:dyDescent="0.3">
      <c r="A9" s="5" t="s">
        <v>57</v>
      </c>
      <c r="B9" s="5" t="s">
        <v>58</v>
      </c>
      <c r="C9" s="5" t="s">
        <v>14</v>
      </c>
      <c r="D9" s="5" t="s">
        <v>15</v>
      </c>
      <c r="E9" s="5">
        <v>42</v>
      </c>
      <c r="F9" s="5" t="s">
        <v>50</v>
      </c>
      <c r="G9" s="5" t="s">
        <v>40</v>
      </c>
      <c r="H9" s="5" t="s">
        <v>59</v>
      </c>
      <c r="I9" s="5">
        <v>114547</v>
      </c>
      <c r="J9" s="5" t="s">
        <v>60</v>
      </c>
      <c r="K9" s="5" t="s">
        <v>61</v>
      </c>
      <c r="L9" s="5" t="s">
        <v>36</v>
      </c>
      <c r="M9" s="1">
        <f>VLOOKUP(Employees!A9,Performance!A8:E508,3,0)</f>
        <v>1</v>
      </c>
    </row>
    <row r="10" spans="1:20" x14ac:dyDescent="0.3">
      <c r="A10" s="4" t="s">
        <v>62</v>
      </c>
      <c r="B10" s="4" t="s">
        <v>58</v>
      </c>
      <c r="C10" s="4" t="s">
        <v>63</v>
      </c>
      <c r="D10" s="4" t="s">
        <v>15</v>
      </c>
      <c r="E10" s="4">
        <v>40</v>
      </c>
      <c r="F10" s="4" t="s">
        <v>16</v>
      </c>
      <c r="G10" s="4" t="s">
        <v>32</v>
      </c>
      <c r="H10" s="4" t="s">
        <v>64</v>
      </c>
      <c r="I10" s="4">
        <v>51139</v>
      </c>
      <c r="J10" s="4" t="s">
        <v>65</v>
      </c>
      <c r="K10" s="4" t="s">
        <v>66</v>
      </c>
      <c r="L10" s="4" t="s">
        <v>36</v>
      </c>
      <c r="M10" s="1">
        <f>VLOOKUP(Employees!A10,Performance!A9:E509,3,0)</f>
        <v>4</v>
      </c>
    </row>
    <row r="11" spans="1:20" x14ac:dyDescent="0.3">
      <c r="A11" s="5" t="s">
        <v>67</v>
      </c>
      <c r="B11" s="5" t="s">
        <v>13</v>
      </c>
      <c r="C11" s="5" t="s">
        <v>23</v>
      </c>
      <c r="D11" s="5" t="s">
        <v>15</v>
      </c>
      <c r="E11" s="5">
        <v>25</v>
      </c>
      <c r="F11" s="5" t="s">
        <v>39</v>
      </c>
      <c r="G11" s="5" t="s">
        <v>17</v>
      </c>
      <c r="H11" s="5" t="s">
        <v>68</v>
      </c>
      <c r="I11" s="5">
        <v>60673</v>
      </c>
      <c r="J11" s="5" t="s">
        <v>65</v>
      </c>
      <c r="K11" s="5" t="s">
        <v>69</v>
      </c>
      <c r="L11" s="5" t="s">
        <v>36</v>
      </c>
      <c r="M11" s="1">
        <f>VLOOKUP(Employees!A11,Performance!A10:E510,3,0)</f>
        <v>5</v>
      </c>
      <c r="S11" t="s">
        <v>1523</v>
      </c>
    </row>
    <row r="12" spans="1:20" x14ac:dyDescent="0.3">
      <c r="A12" s="4" t="s">
        <v>70</v>
      </c>
      <c r="B12" s="4" t="s">
        <v>71</v>
      </c>
      <c r="C12" s="4" t="s">
        <v>23</v>
      </c>
      <c r="D12" s="4" t="s">
        <v>15</v>
      </c>
      <c r="E12" s="4">
        <v>25</v>
      </c>
      <c r="F12" s="4" t="s">
        <v>39</v>
      </c>
      <c r="G12" s="4" t="s">
        <v>32</v>
      </c>
      <c r="H12" s="4" t="s">
        <v>72</v>
      </c>
      <c r="I12" s="4">
        <v>65690</v>
      </c>
      <c r="J12" s="4" t="s">
        <v>19</v>
      </c>
      <c r="K12" s="4" t="s">
        <v>73</v>
      </c>
      <c r="L12" s="4" t="s">
        <v>36</v>
      </c>
      <c r="M12" s="1">
        <f>VLOOKUP(Employees!A12,Performance!A11:E511,3,0)</f>
        <v>3</v>
      </c>
    </row>
    <row r="13" spans="1:20" x14ac:dyDescent="0.3">
      <c r="A13" s="5" t="s">
        <v>74</v>
      </c>
      <c r="B13" s="5" t="s">
        <v>30</v>
      </c>
      <c r="C13" s="5" t="s">
        <v>45</v>
      </c>
      <c r="D13" s="5" t="s">
        <v>24</v>
      </c>
      <c r="E13" s="5">
        <v>49</v>
      </c>
      <c r="F13" s="5" t="s">
        <v>25</v>
      </c>
      <c r="G13" s="5" t="s">
        <v>26</v>
      </c>
      <c r="H13" s="5" t="s">
        <v>75</v>
      </c>
      <c r="I13" s="5">
        <v>63823</v>
      </c>
      <c r="J13" s="5" t="s">
        <v>65</v>
      </c>
      <c r="K13" s="5" t="s">
        <v>76</v>
      </c>
      <c r="L13" s="5" t="s">
        <v>21</v>
      </c>
      <c r="M13" s="1">
        <f>VLOOKUP(Employees!A13,Performance!A12:E512,3,0)</f>
        <v>2</v>
      </c>
    </row>
    <row r="14" spans="1:20" x14ac:dyDescent="0.3">
      <c r="A14" s="4" t="s">
        <v>77</v>
      </c>
      <c r="B14" s="4" t="s">
        <v>30</v>
      </c>
      <c r="C14" s="4" t="s">
        <v>78</v>
      </c>
      <c r="D14" s="4" t="s">
        <v>15</v>
      </c>
      <c r="E14" s="4">
        <v>56</v>
      </c>
      <c r="F14" s="4" t="s">
        <v>39</v>
      </c>
      <c r="G14" s="4" t="s">
        <v>17</v>
      </c>
      <c r="H14" s="4" t="s">
        <v>79</v>
      </c>
      <c r="I14" s="4">
        <v>49557</v>
      </c>
      <c r="J14" s="4" t="s">
        <v>80</v>
      </c>
      <c r="K14" s="4" t="s">
        <v>81</v>
      </c>
      <c r="L14" s="4" t="s">
        <v>36</v>
      </c>
      <c r="M14" s="1">
        <f>VLOOKUP(Employees!A14,Performance!A13:E513,3,0)</f>
        <v>3</v>
      </c>
    </row>
    <row r="15" spans="1:20" x14ac:dyDescent="0.3">
      <c r="A15" s="5" t="s">
        <v>82</v>
      </c>
      <c r="B15" s="5" t="s">
        <v>30</v>
      </c>
      <c r="C15" s="5" t="s">
        <v>83</v>
      </c>
      <c r="D15" s="5" t="s">
        <v>24</v>
      </c>
      <c r="E15" s="5">
        <v>44</v>
      </c>
      <c r="F15" s="5" t="s">
        <v>16</v>
      </c>
      <c r="G15" s="5" t="s">
        <v>32</v>
      </c>
      <c r="H15" s="5" t="s">
        <v>84</v>
      </c>
      <c r="I15" s="5">
        <v>116901</v>
      </c>
      <c r="J15" s="5" t="s">
        <v>65</v>
      </c>
      <c r="K15" s="5" t="s">
        <v>85</v>
      </c>
      <c r="L15" s="5" t="s">
        <v>21</v>
      </c>
      <c r="M15" s="1">
        <f>VLOOKUP(Employees!A15,Performance!A14:E514,3,0)</f>
        <v>2</v>
      </c>
    </row>
    <row r="16" spans="1:20" x14ac:dyDescent="0.3">
      <c r="A16" s="4" t="s">
        <v>86</v>
      </c>
      <c r="B16" s="4" t="s">
        <v>38</v>
      </c>
      <c r="C16" s="4" t="s">
        <v>83</v>
      </c>
      <c r="D16" s="4" t="s">
        <v>15</v>
      </c>
      <c r="E16" s="4">
        <v>55</v>
      </c>
      <c r="F16" s="4" t="s">
        <v>50</v>
      </c>
      <c r="G16" s="4" t="s">
        <v>17</v>
      </c>
      <c r="H16" s="4" t="s">
        <v>87</v>
      </c>
      <c r="I16" s="4">
        <v>85190</v>
      </c>
      <c r="J16" s="4" t="s">
        <v>60</v>
      </c>
      <c r="K16" s="4" t="s">
        <v>88</v>
      </c>
      <c r="L16" s="4" t="s">
        <v>36</v>
      </c>
      <c r="M16" s="1">
        <f>VLOOKUP(Employees!A16,Performance!A15:E515,3,0)</f>
        <v>4</v>
      </c>
    </row>
    <row r="17" spans="1:13" x14ac:dyDescent="0.3">
      <c r="A17" s="5" t="s">
        <v>89</v>
      </c>
      <c r="B17" s="5" t="s">
        <v>54</v>
      </c>
      <c r="C17" s="5" t="s">
        <v>90</v>
      </c>
      <c r="D17" s="5" t="s">
        <v>15</v>
      </c>
      <c r="E17" s="5">
        <v>30</v>
      </c>
      <c r="F17" s="5" t="s">
        <v>31</v>
      </c>
      <c r="G17" s="5" t="s">
        <v>32</v>
      </c>
      <c r="H17" s="5" t="s">
        <v>91</v>
      </c>
      <c r="I17" s="5">
        <v>95723</v>
      </c>
      <c r="J17" s="5" t="s">
        <v>65</v>
      </c>
      <c r="K17" s="5" t="s">
        <v>92</v>
      </c>
      <c r="L17" s="5" t="s">
        <v>36</v>
      </c>
      <c r="M17" s="1">
        <f>VLOOKUP(Employees!A17,Performance!A16:E516,3,0)</f>
        <v>2</v>
      </c>
    </row>
    <row r="18" spans="1:13" x14ac:dyDescent="0.3">
      <c r="A18" s="4" t="s">
        <v>93</v>
      </c>
      <c r="B18" s="4" t="s">
        <v>94</v>
      </c>
      <c r="C18" s="4" t="s">
        <v>95</v>
      </c>
      <c r="D18" s="4" t="s">
        <v>15</v>
      </c>
      <c r="E18" s="4">
        <v>51</v>
      </c>
      <c r="F18" s="4" t="s">
        <v>31</v>
      </c>
      <c r="G18" s="4" t="s">
        <v>26</v>
      </c>
      <c r="H18" s="4" t="s">
        <v>96</v>
      </c>
      <c r="I18" s="4">
        <v>35234</v>
      </c>
      <c r="J18" s="4" t="s">
        <v>60</v>
      </c>
      <c r="K18" s="4" t="s">
        <v>97</v>
      </c>
      <c r="L18" s="4" t="s">
        <v>36</v>
      </c>
      <c r="M18" s="1">
        <f>VLOOKUP(Employees!A18,Performance!A17:E517,3,0)</f>
        <v>1</v>
      </c>
    </row>
    <row r="19" spans="1:13" x14ac:dyDescent="0.3">
      <c r="A19" s="5" t="s">
        <v>98</v>
      </c>
      <c r="B19" s="5" t="s">
        <v>58</v>
      </c>
      <c r="C19" s="5" t="s">
        <v>23</v>
      </c>
      <c r="D19" s="5" t="s">
        <v>24</v>
      </c>
      <c r="E19" s="5">
        <v>38</v>
      </c>
      <c r="F19" s="5" t="s">
        <v>16</v>
      </c>
      <c r="G19" s="5" t="s">
        <v>26</v>
      </c>
      <c r="H19" s="5" t="s">
        <v>99</v>
      </c>
      <c r="I19" s="5">
        <v>102733</v>
      </c>
      <c r="J19" s="5" t="s">
        <v>19</v>
      </c>
      <c r="K19" s="5" t="s">
        <v>100</v>
      </c>
      <c r="L19" s="5" t="s">
        <v>36</v>
      </c>
      <c r="M19" s="1">
        <f>VLOOKUP(Employees!A19,Performance!A18:E518,3,0)</f>
        <v>4</v>
      </c>
    </row>
    <row r="20" spans="1:13" x14ac:dyDescent="0.3">
      <c r="A20" s="4" t="s">
        <v>101</v>
      </c>
      <c r="B20" s="4" t="s">
        <v>30</v>
      </c>
      <c r="C20" s="4" t="s">
        <v>78</v>
      </c>
      <c r="D20" s="4" t="s">
        <v>15</v>
      </c>
      <c r="E20" s="4">
        <v>46</v>
      </c>
      <c r="F20" s="4" t="s">
        <v>16</v>
      </c>
      <c r="G20" s="4" t="s">
        <v>40</v>
      </c>
      <c r="H20" s="4" t="s">
        <v>102</v>
      </c>
      <c r="I20" s="4">
        <v>76829</v>
      </c>
      <c r="J20" s="4" t="s">
        <v>65</v>
      </c>
      <c r="K20" s="4" t="s">
        <v>103</v>
      </c>
      <c r="L20" s="4" t="s">
        <v>21</v>
      </c>
      <c r="M20" s="1">
        <f>VLOOKUP(Employees!A20,Performance!A19:E519,3,0)</f>
        <v>5</v>
      </c>
    </row>
    <row r="21" spans="1:13" x14ac:dyDescent="0.3">
      <c r="A21" s="5" t="s">
        <v>104</v>
      </c>
      <c r="B21" s="5" t="s">
        <v>94</v>
      </c>
      <c r="C21" s="5" t="s">
        <v>14</v>
      </c>
      <c r="D21" s="5" t="s">
        <v>24</v>
      </c>
      <c r="E21" s="5">
        <v>60</v>
      </c>
      <c r="F21" s="5" t="s">
        <v>39</v>
      </c>
      <c r="G21" s="5" t="s">
        <v>32</v>
      </c>
      <c r="H21" s="5" t="s">
        <v>105</v>
      </c>
      <c r="I21" s="5">
        <v>69718</v>
      </c>
      <c r="J21" s="5" t="s">
        <v>34</v>
      </c>
      <c r="K21" s="5" t="s">
        <v>106</v>
      </c>
      <c r="L21" s="5" t="s">
        <v>36</v>
      </c>
      <c r="M21" s="1">
        <f>VLOOKUP(Employees!A21,Performance!A20:E520,3,0)</f>
        <v>5</v>
      </c>
    </row>
    <row r="22" spans="1:13" x14ac:dyDescent="0.3">
      <c r="A22" s="4" t="s">
        <v>107</v>
      </c>
      <c r="B22" s="4" t="s">
        <v>94</v>
      </c>
      <c r="C22" s="4" t="s">
        <v>83</v>
      </c>
      <c r="D22" s="4" t="s">
        <v>15</v>
      </c>
      <c r="E22" s="4">
        <v>24</v>
      </c>
      <c r="F22" s="4" t="s">
        <v>31</v>
      </c>
      <c r="G22" s="4" t="s">
        <v>108</v>
      </c>
      <c r="H22" s="4" t="s">
        <v>109</v>
      </c>
      <c r="I22" s="4">
        <v>90834</v>
      </c>
      <c r="J22" s="4" t="s">
        <v>80</v>
      </c>
      <c r="K22" s="4" t="s">
        <v>110</v>
      </c>
      <c r="L22" s="4" t="s">
        <v>21</v>
      </c>
      <c r="M22" s="1">
        <f>VLOOKUP(Employees!A22,Performance!A21:E521,3,0)</f>
        <v>1</v>
      </c>
    </row>
    <row r="23" spans="1:13" x14ac:dyDescent="0.3">
      <c r="A23" s="5" t="s">
        <v>111</v>
      </c>
      <c r="B23" s="5" t="s">
        <v>13</v>
      </c>
      <c r="C23" s="5" t="s">
        <v>14</v>
      </c>
      <c r="D23" s="5" t="s">
        <v>24</v>
      </c>
      <c r="E23" s="5">
        <v>51</v>
      </c>
      <c r="F23" s="5" t="s">
        <v>16</v>
      </c>
      <c r="G23" s="5" t="s">
        <v>108</v>
      </c>
      <c r="H23" s="5" t="s">
        <v>112</v>
      </c>
      <c r="I23" s="5">
        <v>51631</v>
      </c>
      <c r="J23" s="5" t="s">
        <v>65</v>
      </c>
      <c r="K23" s="5" t="s">
        <v>113</v>
      </c>
      <c r="L23" s="5" t="s">
        <v>36</v>
      </c>
      <c r="M23" s="1">
        <f>VLOOKUP(Employees!A23,Performance!A22:E522,3,0)</f>
        <v>5</v>
      </c>
    </row>
    <row r="24" spans="1:13" x14ac:dyDescent="0.3">
      <c r="A24" s="4" t="s">
        <v>114</v>
      </c>
      <c r="B24" s="4" t="s">
        <v>71</v>
      </c>
      <c r="C24" s="4" t="s">
        <v>63</v>
      </c>
      <c r="D24" s="4" t="s">
        <v>24</v>
      </c>
      <c r="E24" s="4">
        <v>45</v>
      </c>
      <c r="F24" s="4" t="s">
        <v>31</v>
      </c>
      <c r="G24" s="4" t="s">
        <v>26</v>
      </c>
      <c r="H24" s="4" t="s">
        <v>115</v>
      </c>
      <c r="I24" s="4">
        <v>51414</v>
      </c>
      <c r="J24" s="4" t="s">
        <v>65</v>
      </c>
      <c r="K24" s="4" t="s">
        <v>116</v>
      </c>
      <c r="L24" s="4" t="s">
        <v>21</v>
      </c>
      <c r="M24" s="1">
        <f>VLOOKUP(Employees!A24,Performance!A23:E523,3,0)</f>
        <v>3</v>
      </c>
    </row>
    <row r="25" spans="1:13" x14ac:dyDescent="0.3">
      <c r="A25" s="5" t="s">
        <v>117</v>
      </c>
      <c r="B25" s="5" t="s">
        <v>44</v>
      </c>
      <c r="C25" s="5" t="s">
        <v>63</v>
      </c>
      <c r="D25" s="5" t="s">
        <v>24</v>
      </c>
      <c r="E25" s="5">
        <v>35</v>
      </c>
      <c r="F25" s="5" t="s">
        <v>50</v>
      </c>
      <c r="G25" s="5" t="s">
        <v>17</v>
      </c>
      <c r="H25" s="5" t="s">
        <v>118</v>
      </c>
      <c r="I25" s="5">
        <v>79578</v>
      </c>
      <c r="J25" s="5" t="s">
        <v>19</v>
      </c>
      <c r="K25" s="5" t="s">
        <v>119</v>
      </c>
      <c r="L25" s="5" t="s">
        <v>36</v>
      </c>
      <c r="M25" s="1">
        <f>VLOOKUP(Employees!A25,Performance!A24:E524,3,0)</f>
        <v>4</v>
      </c>
    </row>
    <row r="26" spans="1:13" x14ac:dyDescent="0.3">
      <c r="A26" s="4" t="s">
        <v>120</v>
      </c>
      <c r="B26" s="4" t="s">
        <v>71</v>
      </c>
      <c r="C26" s="4" t="s">
        <v>83</v>
      </c>
      <c r="D26" s="4" t="s">
        <v>24</v>
      </c>
      <c r="E26" s="4">
        <v>47</v>
      </c>
      <c r="F26" s="4" t="s">
        <v>25</v>
      </c>
      <c r="G26" s="4" t="s">
        <v>108</v>
      </c>
      <c r="H26" s="4" t="s">
        <v>121</v>
      </c>
      <c r="I26" s="4">
        <v>111899</v>
      </c>
      <c r="J26" s="4" t="s">
        <v>65</v>
      </c>
      <c r="K26" s="4" t="s">
        <v>122</v>
      </c>
      <c r="L26" s="4" t="s">
        <v>36</v>
      </c>
      <c r="M26" s="1">
        <f>VLOOKUP(Employees!A26,Performance!A25:E525,3,0)</f>
        <v>4</v>
      </c>
    </row>
    <row r="27" spans="1:13" x14ac:dyDescent="0.3">
      <c r="A27" s="5" t="s">
        <v>123</v>
      </c>
      <c r="B27" s="5" t="s">
        <v>58</v>
      </c>
      <c r="C27" s="5" t="s">
        <v>14</v>
      </c>
      <c r="D27" s="5" t="s">
        <v>24</v>
      </c>
      <c r="E27" s="5">
        <v>47</v>
      </c>
      <c r="F27" s="5" t="s">
        <v>31</v>
      </c>
      <c r="G27" s="5" t="s">
        <v>26</v>
      </c>
      <c r="H27" s="5" t="s">
        <v>124</v>
      </c>
      <c r="I27" s="5">
        <v>95862</v>
      </c>
      <c r="J27" s="5" t="s">
        <v>19</v>
      </c>
      <c r="K27" s="5" t="s">
        <v>125</v>
      </c>
      <c r="L27" s="5" t="s">
        <v>21</v>
      </c>
      <c r="M27" s="1">
        <f>VLOOKUP(Employees!A27,Performance!A26:E526,3,0)</f>
        <v>1</v>
      </c>
    </row>
    <row r="28" spans="1:13" x14ac:dyDescent="0.3">
      <c r="A28" s="4" t="s">
        <v>126</v>
      </c>
      <c r="B28" s="4" t="s">
        <v>13</v>
      </c>
      <c r="C28" s="4" t="s">
        <v>83</v>
      </c>
      <c r="D28" s="4" t="s">
        <v>15</v>
      </c>
      <c r="E28" s="4">
        <v>49</v>
      </c>
      <c r="F28" s="4" t="s">
        <v>25</v>
      </c>
      <c r="G28" s="4" t="s">
        <v>17</v>
      </c>
      <c r="H28" s="4" t="s">
        <v>127</v>
      </c>
      <c r="I28" s="4">
        <v>110397</v>
      </c>
      <c r="J28" s="4" t="s">
        <v>80</v>
      </c>
      <c r="K28" s="4" t="s">
        <v>128</v>
      </c>
      <c r="L28" s="4" t="s">
        <v>36</v>
      </c>
      <c r="M28" s="1">
        <f>VLOOKUP(Employees!A28,Performance!A27:E527,3,0)</f>
        <v>1</v>
      </c>
    </row>
    <row r="29" spans="1:13" x14ac:dyDescent="0.3">
      <c r="A29" s="5" t="s">
        <v>129</v>
      </c>
      <c r="B29" s="5" t="s">
        <v>44</v>
      </c>
      <c r="C29" s="5" t="s">
        <v>130</v>
      </c>
      <c r="D29" s="5" t="s">
        <v>15</v>
      </c>
      <c r="E29" s="5">
        <v>27</v>
      </c>
      <c r="F29" s="5" t="s">
        <v>50</v>
      </c>
      <c r="G29" s="5" t="s">
        <v>26</v>
      </c>
      <c r="H29" s="5" t="s">
        <v>131</v>
      </c>
      <c r="I29" s="5">
        <v>111149</v>
      </c>
      <c r="J29" s="5" t="s">
        <v>80</v>
      </c>
      <c r="K29" s="5" t="s">
        <v>132</v>
      </c>
      <c r="L29" s="5" t="s">
        <v>21</v>
      </c>
      <c r="M29" s="1">
        <f>VLOOKUP(Employees!A29,Performance!A28:E528,3,0)</f>
        <v>4</v>
      </c>
    </row>
    <row r="30" spans="1:13" x14ac:dyDescent="0.3">
      <c r="A30" s="4" t="s">
        <v>133</v>
      </c>
      <c r="B30" s="4" t="s">
        <v>54</v>
      </c>
      <c r="C30" s="4" t="s">
        <v>78</v>
      </c>
      <c r="D30" s="4" t="s">
        <v>24</v>
      </c>
      <c r="E30" s="4">
        <v>36</v>
      </c>
      <c r="F30" s="4" t="s">
        <v>31</v>
      </c>
      <c r="G30" s="4" t="s">
        <v>17</v>
      </c>
      <c r="H30" s="4" t="s">
        <v>134</v>
      </c>
      <c r="I30" s="4">
        <v>67035</v>
      </c>
      <c r="J30" s="4" t="s">
        <v>80</v>
      </c>
      <c r="K30" s="4" t="s">
        <v>135</v>
      </c>
      <c r="L30" s="4" t="s">
        <v>36</v>
      </c>
      <c r="M30" s="1">
        <f>VLOOKUP(Employees!A30,Performance!A29:E529,3,0)</f>
        <v>5</v>
      </c>
    </row>
    <row r="31" spans="1:13" x14ac:dyDescent="0.3">
      <c r="A31" s="5" t="s">
        <v>136</v>
      </c>
      <c r="B31" s="5" t="s">
        <v>38</v>
      </c>
      <c r="C31" s="5" t="s">
        <v>14</v>
      </c>
      <c r="D31" s="5" t="s">
        <v>24</v>
      </c>
      <c r="E31" s="5">
        <v>41</v>
      </c>
      <c r="F31" s="5" t="s">
        <v>25</v>
      </c>
      <c r="G31" s="5" t="s">
        <v>17</v>
      </c>
      <c r="H31" s="5" t="s">
        <v>137</v>
      </c>
      <c r="I31" s="5">
        <v>103851</v>
      </c>
      <c r="J31" s="5" t="s">
        <v>34</v>
      </c>
      <c r="K31" s="5" t="s">
        <v>138</v>
      </c>
      <c r="L31" s="5" t="s">
        <v>36</v>
      </c>
      <c r="M31" s="1">
        <f>VLOOKUP(Employees!A31,Performance!A30:E530,3,0)</f>
        <v>2</v>
      </c>
    </row>
    <row r="32" spans="1:13" x14ac:dyDescent="0.3">
      <c r="A32" s="4" t="s">
        <v>139</v>
      </c>
      <c r="B32" s="4" t="s">
        <v>13</v>
      </c>
      <c r="C32" s="4" t="s">
        <v>45</v>
      </c>
      <c r="D32" s="4" t="s">
        <v>15</v>
      </c>
      <c r="E32" s="4">
        <v>26</v>
      </c>
      <c r="F32" s="4" t="s">
        <v>39</v>
      </c>
      <c r="G32" s="4" t="s">
        <v>108</v>
      </c>
      <c r="H32" s="4" t="s">
        <v>140</v>
      </c>
      <c r="I32" s="4">
        <v>63676</v>
      </c>
      <c r="J32" s="4" t="s">
        <v>19</v>
      </c>
      <c r="K32" s="4" t="s">
        <v>141</v>
      </c>
      <c r="L32" s="4" t="s">
        <v>36</v>
      </c>
      <c r="M32" s="1">
        <f>VLOOKUP(Employees!A32,Performance!A31:E531,3,0)</f>
        <v>1</v>
      </c>
    </row>
    <row r="33" spans="1:13" x14ac:dyDescent="0.3">
      <c r="A33" s="5" t="s">
        <v>142</v>
      </c>
      <c r="B33" s="5" t="s">
        <v>143</v>
      </c>
      <c r="C33" s="5" t="s">
        <v>95</v>
      </c>
      <c r="D33" s="5" t="s">
        <v>15</v>
      </c>
      <c r="E33" s="5">
        <v>31</v>
      </c>
      <c r="F33" s="5" t="s">
        <v>16</v>
      </c>
      <c r="G33" s="5" t="s">
        <v>40</v>
      </c>
      <c r="H33" s="5" t="s">
        <v>144</v>
      </c>
      <c r="I33" s="5">
        <v>115269</v>
      </c>
      <c r="J33" s="5" t="s">
        <v>80</v>
      </c>
      <c r="K33" s="5" t="s">
        <v>145</v>
      </c>
      <c r="L33" s="5" t="s">
        <v>36</v>
      </c>
      <c r="M33" s="1">
        <f>VLOOKUP(Employees!A33,Performance!A32:E532,3,0)</f>
        <v>4</v>
      </c>
    </row>
    <row r="34" spans="1:13" x14ac:dyDescent="0.3">
      <c r="A34" s="4" t="s">
        <v>146</v>
      </c>
      <c r="B34" s="4" t="s">
        <v>143</v>
      </c>
      <c r="C34" s="4" t="s">
        <v>63</v>
      </c>
      <c r="D34" s="4" t="s">
        <v>24</v>
      </c>
      <c r="E34" s="4">
        <v>47</v>
      </c>
      <c r="F34" s="4" t="s">
        <v>31</v>
      </c>
      <c r="G34" s="4" t="s">
        <v>17</v>
      </c>
      <c r="H34" s="4" t="s">
        <v>147</v>
      </c>
      <c r="I34" s="4">
        <v>77203</v>
      </c>
      <c r="J34" s="4" t="s">
        <v>34</v>
      </c>
      <c r="K34" s="4" t="s">
        <v>148</v>
      </c>
      <c r="L34" s="4" t="s">
        <v>21</v>
      </c>
      <c r="M34" s="1">
        <f>VLOOKUP(Employees!A34,Performance!A33:E533,3,0)</f>
        <v>5</v>
      </c>
    </row>
    <row r="35" spans="1:13" x14ac:dyDescent="0.3">
      <c r="A35" s="5" t="s">
        <v>149</v>
      </c>
      <c r="B35" s="5" t="s">
        <v>58</v>
      </c>
      <c r="C35" s="5" t="s">
        <v>83</v>
      </c>
      <c r="D35" s="5" t="s">
        <v>24</v>
      </c>
      <c r="E35" s="5">
        <v>57</v>
      </c>
      <c r="F35" s="5" t="s">
        <v>16</v>
      </c>
      <c r="G35" s="5" t="s">
        <v>108</v>
      </c>
      <c r="H35" s="5" t="s">
        <v>150</v>
      </c>
      <c r="I35" s="5">
        <v>113291</v>
      </c>
      <c r="J35" s="5" t="s">
        <v>80</v>
      </c>
      <c r="K35" s="5" t="s">
        <v>151</v>
      </c>
      <c r="L35" s="5" t="s">
        <v>36</v>
      </c>
      <c r="M35" s="1">
        <f>VLOOKUP(Employees!A35,Performance!A34:E534,3,0)</f>
        <v>1</v>
      </c>
    </row>
    <row r="36" spans="1:13" x14ac:dyDescent="0.3">
      <c r="A36" s="4" t="s">
        <v>152</v>
      </c>
      <c r="B36" s="4" t="s">
        <v>38</v>
      </c>
      <c r="C36" s="4" t="s">
        <v>78</v>
      </c>
      <c r="D36" s="4" t="s">
        <v>15</v>
      </c>
      <c r="E36" s="4">
        <v>45</v>
      </c>
      <c r="F36" s="4" t="s">
        <v>16</v>
      </c>
      <c r="G36" s="4" t="s">
        <v>17</v>
      </c>
      <c r="H36" s="4" t="s">
        <v>153</v>
      </c>
      <c r="I36" s="4">
        <v>93729</v>
      </c>
      <c r="J36" s="4" t="s">
        <v>80</v>
      </c>
      <c r="K36" s="4" t="s">
        <v>154</v>
      </c>
      <c r="L36" s="4" t="s">
        <v>36</v>
      </c>
      <c r="M36" s="1">
        <f>VLOOKUP(Employees!A36,Performance!A35:E535,3,0)</f>
        <v>5</v>
      </c>
    </row>
    <row r="37" spans="1:13" x14ac:dyDescent="0.3">
      <c r="A37" s="5" t="s">
        <v>155</v>
      </c>
      <c r="B37" s="5" t="s">
        <v>30</v>
      </c>
      <c r="C37" s="5" t="s">
        <v>45</v>
      </c>
      <c r="D37" s="5" t="s">
        <v>24</v>
      </c>
      <c r="E37" s="5">
        <v>40</v>
      </c>
      <c r="F37" s="5" t="s">
        <v>39</v>
      </c>
      <c r="G37" s="5" t="s">
        <v>108</v>
      </c>
      <c r="H37" s="5" t="s">
        <v>156</v>
      </c>
      <c r="I37" s="5">
        <v>35947</v>
      </c>
      <c r="J37" s="5" t="s">
        <v>65</v>
      </c>
      <c r="K37" s="5" t="s">
        <v>157</v>
      </c>
      <c r="L37" s="5" t="s">
        <v>36</v>
      </c>
      <c r="M37" s="1">
        <f>VLOOKUP(Employees!A37,Performance!A36:E536,3,0)</f>
        <v>1</v>
      </c>
    </row>
    <row r="38" spans="1:13" x14ac:dyDescent="0.3">
      <c r="A38" s="4" t="s">
        <v>158</v>
      </c>
      <c r="B38" s="4" t="s">
        <v>13</v>
      </c>
      <c r="C38" s="4" t="s">
        <v>45</v>
      </c>
      <c r="D38" s="4" t="s">
        <v>15</v>
      </c>
      <c r="E38" s="4">
        <v>49</v>
      </c>
      <c r="F38" s="4" t="s">
        <v>39</v>
      </c>
      <c r="G38" s="4" t="s">
        <v>26</v>
      </c>
      <c r="H38" s="4" t="s">
        <v>159</v>
      </c>
      <c r="I38" s="4">
        <v>72311</v>
      </c>
      <c r="J38" s="4" t="s">
        <v>80</v>
      </c>
      <c r="K38" s="4" t="s">
        <v>160</v>
      </c>
      <c r="L38" s="4" t="s">
        <v>36</v>
      </c>
      <c r="M38" s="1">
        <f>VLOOKUP(Employees!A38,Performance!A37:E537,3,0)</f>
        <v>4</v>
      </c>
    </row>
    <row r="39" spans="1:13" x14ac:dyDescent="0.3">
      <c r="A39" s="5" t="s">
        <v>161</v>
      </c>
      <c r="B39" s="5" t="s">
        <v>143</v>
      </c>
      <c r="C39" s="5" t="s">
        <v>90</v>
      </c>
      <c r="D39" s="5" t="s">
        <v>24</v>
      </c>
      <c r="E39" s="5">
        <v>53</v>
      </c>
      <c r="F39" s="5" t="s">
        <v>50</v>
      </c>
      <c r="G39" s="5" t="s">
        <v>40</v>
      </c>
      <c r="H39" s="5" t="s">
        <v>162</v>
      </c>
      <c r="I39" s="5">
        <v>38763</v>
      </c>
      <c r="J39" s="5" t="s">
        <v>60</v>
      </c>
      <c r="K39" s="5" t="s">
        <v>163</v>
      </c>
      <c r="L39" s="5" t="s">
        <v>21</v>
      </c>
      <c r="M39" s="1">
        <f>VLOOKUP(Employees!A39,Performance!A38:E538,3,0)</f>
        <v>4</v>
      </c>
    </row>
    <row r="40" spans="1:13" x14ac:dyDescent="0.3">
      <c r="A40" s="4" t="s">
        <v>164</v>
      </c>
      <c r="B40" s="4" t="s">
        <v>38</v>
      </c>
      <c r="C40" s="4" t="s">
        <v>165</v>
      </c>
      <c r="D40" s="4" t="s">
        <v>15</v>
      </c>
      <c r="E40" s="4">
        <v>54</v>
      </c>
      <c r="F40" s="4" t="s">
        <v>31</v>
      </c>
      <c r="G40" s="4" t="s">
        <v>32</v>
      </c>
      <c r="H40" s="4" t="s">
        <v>166</v>
      </c>
      <c r="I40" s="4">
        <v>101175</v>
      </c>
      <c r="J40" s="4" t="s">
        <v>60</v>
      </c>
      <c r="K40" s="4" t="s">
        <v>167</v>
      </c>
      <c r="L40" s="4" t="s">
        <v>21</v>
      </c>
      <c r="M40" s="1">
        <f>VLOOKUP(Employees!A40,Performance!A39:E539,3,0)</f>
        <v>3</v>
      </c>
    </row>
    <row r="41" spans="1:13" x14ac:dyDescent="0.3">
      <c r="A41" s="5" t="s">
        <v>168</v>
      </c>
      <c r="B41" s="5" t="s">
        <v>143</v>
      </c>
      <c r="C41" s="5" t="s">
        <v>90</v>
      </c>
      <c r="D41" s="5" t="s">
        <v>15</v>
      </c>
      <c r="E41" s="5">
        <v>41</v>
      </c>
      <c r="F41" s="5" t="s">
        <v>25</v>
      </c>
      <c r="G41" s="5" t="s">
        <v>108</v>
      </c>
      <c r="H41" s="5" t="s">
        <v>169</v>
      </c>
      <c r="I41" s="5">
        <v>36386</v>
      </c>
      <c r="J41" s="5" t="s">
        <v>65</v>
      </c>
      <c r="K41" s="5" t="s">
        <v>170</v>
      </c>
      <c r="L41" s="5" t="s">
        <v>21</v>
      </c>
      <c r="M41" s="1">
        <f>VLOOKUP(Employees!A41,Performance!A40:E540,3,0)</f>
        <v>2</v>
      </c>
    </row>
    <row r="42" spans="1:13" x14ac:dyDescent="0.3">
      <c r="A42" s="4" t="s">
        <v>171</v>
      </c>
      <c r="B42" s="4" t="s">
        <v>71</v>
      </c>
      <c r="C42" s="4" t="s">
        <v>45</v>
      </c>
      <c r="D42" s="4" t="s">
        <v>15</v>
      </c>
      <c r="E42" s="4">
        <v>56</v>
      </c>
      <c r="F42" s="4" t="s">
        <v>39</v>
      </c>
      <c r="G42" s="4" t="s">
        <v>40</v>
      </c>
      <c r="H42" s="4" t="s">
        <v>172</v>
      </c>
      <c r="I42" s="4">
        <v>76395</v>
      </c>
      <c r="J42" s="4" t="s">
        <v>19</v>
      </c>
      <c r="K42" s="4" t="s">
        <v>173</v>
      </c>
      <c r="L42" s="4" t="s">
        <v>36</v>
      </c>
      <c r="M42" s="1">
        <f>VLOOKUP(Employees!A42,Performance!A41:E541,3,0)</f>
        <v>4</v>
      </c>
    </row>
    <row r="43" spans="1:13" x14ac:dyDescent="0.3">
      <c r="A43" s="5" t="s">
        <v>174</v>
      </c>
      <c r="B43" s="5" t="s">
        <v>44</v>
      </c>
      <c r="C43" s="5" t="s">
        <v>95</v>
      </c>
      <c r="D43" s="5" t="s">
        <v>24</v>
      </c>
      <c r="E43" s="5">
        <v>49</v>
      </c>
      <c r="F43" s="5" t="s">
        <v>31</v>
      </c>
      <c r="G43" s="5" t="s">
        <v>108</v>
      </c>
      <c r="H43" s="5" t="s">
        <v>175</v>
      </c>
      <c r="I43" s="5">
        <v>43701</v>
      </c>
      <c r="J43" s="5" t="s">
        <v>60</v>
      </c>
      <c r="K43" s="5" t="s">
        <v>176</v>
      </c>
      <c r="L43" s="5" t="s">
        <v>21</v>
      </c>
      <c r="M43" s="1">
        <f>VLOOKUP(Employees!A43,Performance!A42:E542,3,0)</f>
        <v>3</v>
      </c>
    </row>
    <row r="44" spans="1:13" x14ac:dyDescent="0.3">
      <c r="A44" s="4" t="s">
        <v>177</v>
      </c>
      <c r="B44" s="4" t="s">
        <v>94</v>
      </c>
      <c r="C44" s="4" t="s">
        <v>130</v>
      </c>
      <c r="D44" s="4" t="s">
        <v>24</v>
      </c>
      <c r="E44" s="4">
        <v>32</v>
      </c>
      <c r="F44" s="4" t="s">
        <v>25</v>
      </c>
      <c r="G44" s="4" t="s">
        <v>17</v>
      </c>
      <c r="H44" s="4" t="s">
        <v>178</v>
      </c>
      <c r="I44" s="4">
        <v>85198</v>
      </c>
      <c r="J44" s="4" t="s">
        <v>60</v>
      </c>
      <c r="K44" s="4" t="s">
        <v>179</v>
      </c>
      <c r="L44" s="4" t="s">
        <v>21</v>
      </c>
      <c r="M44" s="1">
        <f>VLOOKUP(Employees!A44,Performance!A43:E543,3,0)</f>
        <v>5</v>
      </c>
    </row>
    <row r="45" spans="1:13" x14ac:dyDescent="0.3">
      <c r="A45" s="5" t="s">
        <v>180</v>
      </c>
      <c r="B45" s="5" t="s">
        <v>13</v>
      </c>
      <c r="C45" s="5" t="s">
        <v>130</v>
      </c>
      <c r="D45" s="5" t="s">
        <v>15</v>
      </c>
      <c r="E45" s="5">
        <v>26</v>
      </c>
      <c r="F45" s="5" t="s">
        <v>16</v>
      </c>
      <c r="G45" s="5" t="s">
        <v>40</v>
      </c>
      <c r="H45" s="5" t="s">
        <v>181</v>
      </c>
      <c r="I45" s="5">
        <v>39451</v>
      </c>
      <c r="J45" s="5" t="s">
        <v>80</v>
      </c>
      <c r="K45" s="5" t="s">
        <v>182</v>
      </c>
      <c r="L45" s="5" t="s">
        <v>21</v>
      </c>
      <c r="M45" s="1">
        <f>VLOOKUP(Employees!A45,Performance!A44:E544,3,0)</f>
        <v>3</v>
      </c>
    </row>
    <row r="46" spans="1:13" x14ac:dyDescent="0.3">
      <c r="A46" s="4" t="s">
        <v>183</v>
      </c>
      <c r="B46" s="4" t="s">
        <v>143</v>
      </c>
      <c r="C46" s="4" t="s">
        <v>165</v>
      </c>
      <c r="D46" s="4" t="s">
        <v>15</v>
      </c>
      <c r="E46" s="4">
        <v>26</v>
      </c>
      <c r="F46" s="4" t="s">
        <v>31</v>
      </c>
      <c r="G46" s="4" t="s">
        <v>40</v>
      </c>
      <c r="H46" s="4" t="s">
        <v>184</v>
      </c>
      <c r="I46" s="4">
        <v>45087</v>
      </c>
      <c r="J46" s="4" t="s">
        <v>80</v>
      </c>
      <c r="K46" s="4" t="s">
        <v>185</v>
      </c>
      <c r="L46" s="4" t="s">
        <v>21</v>
      </c>
      <c r="M46" s="1">
        <f>VLOOKUP(Employees!A46,Performance!A45:E545,3,0)</f>
        <v>1</v>
      </c>
    </row>
    <row r="47" spans="1:13" x14ac:dyDescent="0.3">
      <c r="A47" s="5" t="s">
        <v>186</v>
      </c>
      <c r="B47" s="5" t="s">
        <v>30</v>
      </c>
      <c r="C47" s="5" t="s">
        <v>95</v>
      </c>
      <c r="D47" s="5" t="s">
        <v>24</v>
      </c>
      <c r="E47" s="5">
        <v>26</v>
      </c>
      <c r="F47" s="5" t="s">
        <v>31</v>
      </c>
      <c r="G47" s="5" t="s">
        <v>17</v>
      </c>
      <c r="H47" s="5" t="s">
        <v>187</v>
      </c>
      <c r="I47" s="5">
        <v>38222</v>
      </c>
      <c r="J47" s="5" t="s">
        <v>65</v>
      </c>
      <c r="K47" s="5" t="s">
        <v>188</v>
      </c>
      <c r="L47" s="5" t="s">
        <v>36</v>
      </c>
      <c r="M47" s="1">
        <f>VLOOKUP(Employees!A47,Performance!A46:E546,3,0)</f>
        <v>4</v>
      </c>
    </row>
    <row r="48" spans="1:13" x14ac:dyDescent="0.3">
      <c r="A48" s="4" t="s">
        <v>189</v>
      </c>
      <c r="B48" s="4" t="s">
        <v>71</v>
      </c>
      <c r="C48" s="4" t="s">
        <v>63</v>
      </c>
      <c r="D48" s="4" t="s">
        <v>15</v>
      </c>
      <c r="E48" s="4">
        <v>57</v>
      </c>
      <c r="F48" s="4" t="s">
        <v>25</v>
      </c>
      <c r="G48" s="4" t="s">
        <v>26</v>
      </c>
      <c r="H48" s="4" t="s">
        <v>190</v>
      </c>
      <c r="I48" s="4">
        <v>96188</v>
      </c>
      <c r="J48" s="4" t="s">
        <v>60</v>
      </c>
      <c r="K48" s="4" t="s">
        <v>191</v>
      </c>
      <c r="L48" s="4" t="s">
        <v>21</v>
      </c>
      <c r="M48" s="1">
        <f>VLOOKUP(Employees!A48,Performance!A47:E547,3,0)</f>
        <v>5</v>
      </c>
    </row>
    <row r="49" spans="1:13" x14ac:dyDescent="0.3">
      <c r="A49" s="5" t="s">
        <v>192</v>
      </c>
      <c r="B49" s="5" t="s">
        <v>49</v>
      </c>
      <c r="C49" s="5" t="s">
        <v>83</v>
      </c>
      <c r="D49" s="5" t="s">
        <v>24</v>
      </c>
      <c r="E49" s="5">
        <v>32</v>
      </c>
      <c r="F49" s="5" t="s">
        <v>50</v>
      </c>
      <c r="G49" s="5" t="s">
        <v>17</v>
      </c>
      <c r="H49" s="5" t="s">
        <v>193</v>
      </c>
      <c r="I49" s="5">
        <v>106013</v>
      </c>
      <c r="J49" s="5" t="s">
        <v>80</v>
      </c>
      <c r="K49" s="5" t="s">
        <v>194</v>
      </c>
      <c r="L49" s="5" t="s">
        <v>21</v>
      </c>
      <c r="M49" s="1">
        <f>VLOOKUP(Employees!A49,Performance!A48:E548,3,0)</f>
        <v>5</v>
      </c>
    </row>
    <row r="50" spans="1:13" x14ac:dyDescent="0.3">
      <c r="A50" s="4" t="s">
        <v>195</v>
      </c>
      <c r="B50" s="4" t="s">
        <v>54</v>
      </c>
      <c r="C50" s="4" t="s">
        <v>95</v>
      </c>
      <c r="D50" s="4" t="s">
        <v>24</v>
      </c>
      <c r="E50" s="4">
        <v>52</v>
      </c>
      <c r="F50" s="4" t="s">
        <v>31</v>
      </c>
      <c r="G50" s="4" t="s">
        <v>26</v>
      </c>
      <c r="H50" s="4" t="s">
        <v>196</v>
      </c>
      <c r="I50" s="4">
        <v>82014</v>
      </c>
      <c r="J50" s="4" t="s">
        <v>19</v>
      </c>
      <c r="K50" s="4" t="s">
        <v>197</v>
      </c>
      <c r="L50" s="4" t="s">
        <v>21</v>
      </c>
      <c r="M50" s="1">
        <f>VLOOKUP(Employees!A50,Performance!A49:E549,3,0)</f>
        <v>2</v>
      </c>
    </row>
    <row r="51" spans="1:13" x14ac:dyDescent="0.3">
      <c r="A51" s="5" t="s">
        <v>198</v>
      </c>
      <c r="B51" s="5" t="s">
        <v>38</v>
      </c>
      <c r="C51" s="5" t="s">
        <v>95</v>
      </c>
      <c r="D51" s="5" t="s">
        <v>24</v>
      </c>
      <c r="E51" s="5">
        <v>46</v>
      </c>
      <c r="F51" s="5" t="s">
        <v>31</v>
      </c>
      <c r="G51" s="5" t="s">
        <v>40</v>
      </c>
      <c r="H51" s="5" t="s">
        <v>124</v>
      </c>
      <c r="I51" s="5">
        <v>84323</v>
      </c>
      <c r="J51" s="5" t="s">
        <v>34</v>
      </c>
      <c r="K51" s="5" t="s">
        <v>199</v>
      </c>
      <c r="L51" s="5" t="s">
        <v>21</v>
      </c>
      <c r="M51" s="1">
        <f>VLOOKUP(Employees!A51,Performance!A50:E550,3,0)</f>
        <v>1</v>
      </c>
    </row>
    <row r="52" spans="1:13" x14ac:dyDescent="0.3">
      <c r="A52" s="4" t="s">
        <v>200</v>
      </c>
      <c r="B52" s="4" t="s">
        <v>58</v>
      </c>
      <c r="C52" s="4" t="s">
        <v>63</v>
      </c>
      <c r="D52" s="4" t="s">
        <v>15</v>
      </c>
      <c r="E52" s="4">
        <v>42</v>
      </c>
      <c r="F52" s="4" t="s">
        <v>16</v>
      </c>
      <c r="G52" s="4" t="s">
        <v>17</v>
      </c>
      <c r="H52" s="4" t="s">
        <v>201</v>
      </c>
      <c r="I52" s="4">
        <v>93289</v>
      </c>
      <c r="J52" s="4" t="s">
        <v>65</v>
      </c>
      <c r="K52" s="4" t="s">
        <v>202</v>
      </c>
      <c r="L52" s="4" t="s">
        <v>36</v>
      </c>
      <c r="M52" s="1">
        <f>VLOOKUP(Employees!A52,Performance!A51:E551,3,0)</f>
        <v>5</v>
      </c>
    </row>
    <row r="53" spans="1:13" x14ac:dyDescent="0.3">
      <c r="A53" s="5" t="s">
        <v>203</v>
      </c>
      <c r="B53" s="5" t="s">
        <v>38</v>
      </c>
      <c r="C53" s="5" t="s">
        <v>130</v>
      </c>
      <c r="D53" s="5" t="s">
        <v>15</v>
      </c>
      <c r="E53" s="5">
        <v>46</v>
      </c>
      <c r="F53" s="5" t="s">
        <v>39</v>
      </c>
      <c r="G53" s="5" t="s">
        <v>40</v>
      </c>
      <c r="H53" s="5" t="s">
        <v>204</v>
      </c>
      <c r="I53" s="5">
        <v>43926</v>
      </c>
      <c r="J53" s="5" t="s">
        <v>80</v>
      </c>
      <c r="K53" s="5" t="s">
        <v>205</v>
      </c>
      <c r="L53" s="5" t="s">
        <v>36</v>
      </c>
      <c r="M53" s="1">
        <f>VLOOKUP(Employees!A53,Performance!A52:E552,3,0)</f>
        <v>4</v>
      </c>
    </row>
    <row r="54" spans="1:13" x14ac:dyDescent="0.3">
      <c r="A54" s="4" t="s">
        <v>206</v>
      </c>
      <c r="B54" s="4" t="s">
        <v>30</v>
      </c>
      <c r="C54" s="4" t="s">
        <v>23</v>
      </c>
      <c r="D54" s="4" t="s">
        <v>24</v>
      </c>
      <c r="E54" s="4">
        <v>57</v>
      </c>
      <c r="F54" s="4" t="s">
        <v>16</v>
      </c>
      <c r="G54" s="4" t="s">
        <v>32</v>
      </c>
      <c r="H54" s="4" t="s">
        <v>207</v>
      </c>
      <c r="I54" s="4">
        <v>102761</v>
      </c>
      <c r="J54" s="4" t="s">
        <v>65</v>
      </c>
      <c r="K54" s="4" t="s">
        <v>208</v>
      </c>
      <c r="L54" s="4" t="s">
        <v>36</v>
      </c>
      <c r="M54" s="1">
        <f>VLOOKUP(Employees!A54,Performance!A53:E553,3,0)</f>
        <v>4</v>
      </c>
    </row>
    <row r="55" spans="1:13" x14ac:dyDescent="0.3">
      <c r="A55" s="5" t="s">
        <v>209</v>
      </c>
      <c r="B55" s="5" t="s">
        <v>94</v>
      </c>
      <c r="C55" s="5" t="s">
        <v>95</v>
      </c>
      <c r="D55" s="5" t="s">
        <v>24</v>
      </c>
      <c r="E55" s="5">
        <v>58</v>
      </c>
      <c r="F55" s="5" t="s">
        <v>50</v>
      </c>
      <c r="G55" s="5" t="s">
        <v>108</v>
      </c>
      <c r="H55" s="5" t="s">
        <v>210</v>
      </c>
      <c r="I55" s="5">
        <v>109960</v>
      </c>
      <c r="J55" s="5" t="s">
        <v>65</v>
      </c>
      <c r="K55" s="5" t="s">
        <v>211</v>
      </c>
      <c r="L55" s="5" t="s">
        <v>36</v>
      </c>
      <c r="M55" s="1">
        <f>VLOOKUP(Employees!A55,Performance!A54:E554,3,0)</f>
        <v>2</v>
      </c>
    </row>
    <row r="56" spans="1:13" x14ac:dyDescent="0.3">
      <c r="A56" s="4" t="s">
        <v>212</v>
      </c>
      <c r="B56" s="4" t="s">
        <v>71</v>
      </c>
      <c r="C56" s="4" t="s">
        <v>165</v>
      </c>
      <c r="D56" s="4" t="s">
        <v>24</v>
      </c>
      <c r="E56" s="4">
        <v>42</v>
      </c>
      <c r="F56" s="4" t="s">
        <v>50</v>
      </c>
      <c r="G56" s="4" t="s">
        <v>26</v>
      </c>
      <c r="H56" s="4" t="s">
        <v>213</v>
      </c>
      <c r="I56" s="4">
        <v>83308</v>
      </c>
      <c r="J56" s="4" t="s">
        <v>60</v>
      </c>
      <c r="K56" s="4" t="s">
        <v>214</v>
      </c>
      <c r="L56" s="4" t="s">
        <v>36</v>
      </c>
      <c r="M56" s="1">
        <f>VLOOKUP(Employees!A56,Performance!A55:E555,3,0)</f>
        <v>1</v>
      </c>
    </row>
    <row r="57" spans="1:13" x14ac:dyDescent="0.3">
      <c r="A57" s="5" t="s">
        <v>215</v>
      </c>
      <c r="B57" s="5" t="s">
        <v>71</v>
      </c>
      <c r="C57" s="5" t="s">
        <v>45</v>
      </c>
      <c r="D57" s="5" t="s">
        <v>24</v>
      </c>
      <c r="E57" s="5">
        <v>26</v>
      </c>
      <c r="F57" s="5" t="s">
        <v>50</v>
      </c>
      <c r="G57" s="5" t="s">
        <v>108</v>
      </c>
      <c r="H57" s="5" t="s">
        <v>216</v>
      </c>
      <c r="I57" s="5">
        <v>44078</v>
      </c>
      <c r="J57" s="5" t="s">
        <v>65</v>
      </c>
      <c r="K57" s="5" t="s">
        <v>217</v>
      </c>
      <c r="L57" s="5" t="s">
        <v>36</v>
      </c>
      <c r="M57" s="1">
        <f>VLOOKUP(Employees!A57,Performance!A56:E556,3,0)</f>
        <v>3</v>
      </c>
    </row>
    <row r="58" spans="1:13" x14ac:dyDescent="0.3">
      <c r="A58" s="4" t="s">
        <v>218</v>
      </c>
      <c r="B58" s="4" t="s">
        <v>30</v>
      </c>
      <c r="C58" s="4" t="s">
        <v>63</v>
      </c>
      <c r="D58" s="4" t="s">
        <v>24</v>
      </c>
      <c r="E58" s="4">
        <v>32</v>
      </c>
      <c r="F58" s="4" t="s">
        <v>16</v>
      </c>
      <c r="G58" s="4" t="s">
        <v>26</v>
      </c>
      <c r="H58" s="4" t="s">
        <v>219</v>
      </c>
      <c r="I58" s="4">
        <v>60444</v>
      </c>
      <c r="J58" s="4" t="s">
        <v>65</v>
      </c>
      <c r="K58" s="4" t="s">
        <v>220</v>
      </c>
      <c r="L58" s="4" t="s">
        <v>36</v>
      </c>
      <c r="M58" s="1">
        <f>VLOOKUP(Employees!A58,Performance!A57:E557,3,0)</f>
        <v>4</v>
      </c>
    </row>
    <row r="59" spans="1:13" x14ac:dyDescent="0.3">
      <c r="A59" s="5" t="s">
        <v>221</v>
      </c>
      <c r="B59" s="5" t="s">
        <v>58</v>
      </c>
      <c r="C59" s="5" t="s">
        <v>78</v>
      </c>
      <c r="D59" s="5" t="s">
        <v>24</v>
      </c>
      <c r="E59" s="5">
        <v>26</v>
      </c>
      <c r="F59" s="5" t="s">
        <v>31</v>
      </c>
      <c r="G59" s="5" t="s">
        <v>26</v>
      </c>
      <c r="H59" s="5" t="s">
        <v>222</v>
      </c>
      <c r="I59" s="5">
        <v>37951</v>
      </c>
      <c r="J59" s="5" t="s">
        <v>34</v>
      </c>
      <c r="K59" s="5" t="s">
        <v>223</v>
      </c>
      <c r="L59" s="5" t="s">
        <v>36</v>
      </c>
      <c r="M59" s="1">
        <f>VLOOKUP(Employees!A59,Performance!A58:E558,3,0)</f>
        <v>2</v>
      </c>
    </row>
    <row r="60" spans="1:13" x14ac:dyDescent="0.3">
      <c r="A60" s="4" t="s">
        <v>224</v>
      </c>
      <c r="B60" s="4" t="s">
        <v>71</v>
      </c>
      <c r="C60" s="4" t="s">
        <v>130</v>
      </c>
      <c r="D60" s="4" t="s">
        <v>24</v>
      </c>
      <c r="E60" s="4">
        <v>36</v>
      </c>
      <c r="F60" s="4" t="s">
        <v>50</v>
      </c>
      <c r="G60" s="4" t="s">
        <v>26</v>
      </c>
      <c r="H60" s="4" t="s">
        <v>225</v>
      </c>
      <c r="I60" s="4">
        <v>88790</v>
      </c>
      <c r="J60" s="4" t="s">
        <v>80</v>
      </c>
      <c r="K60" s="4" t="s">
        <v>226</v>
      </c>
      <c r="L60" s="4" t="s">
        <v>36</v>
      </c>
      <c r="M60" s="1">
        <f>VLOOKUP(Employees!A60,Performance!A59:E559,3,0)</f>
        <v>3</v>
      </c>
    </row>
    <row r="61" spans="1:13" x14ac:dyDescent="0.3">
      <c r="A61" s="5" t="s">
        <v>227</v>
      </c>
      <c r="B61" s="5" t="s">
        <v>38</v>
      </c>
      <c r="C61" s="5" t="s">
        <v>63</v>
      </c>
      <c r="D61" s="5" t="s">
        <v>24</v>
      </c>
      <c r="E61" s="5">
        <v>50</v>
      </c>
      <c r="F61" s="5" t="s">
        <v>50</v>
      </c>
      <c r="G61" s="5" t="s">
        <v>32</v>
      </c>
      <c r="H61" s="5" t="s">
        <v>228</v>
      </c>
      <c r="I61" s="5">
        <v>119530</v>
      </c>
      <c r="J61" s="5" t="s">
        <v>19</v>
      </c>
      <c r="K61" s="5" t="s">
        <v>229</v>
      </c>
      <c r="L61" s="5" t="s">
        <v>36</v>
      </c>
      <c r="M61" s="1">
        <f>VLOOKUP(Employees!A61,Performance!A60:E560,3,0)</f>
        <v>3</v>
      </c>
    </row>
    <row r="62" spans="1:13" x14ac:dyDescent="0.3">
      <c r="A62" s="4" t="s">
        <v>230</v>
      </c>
      <c r="B62" s="4" t="s">
        <v>143</v>
      </c>
      <c r="C62" s="4" t="s">
        <v>78</v>
      </c>
      <c r="D62" s="4" t="s">
        <v>15</v>
      </c>
      <c r="E62" s="4">
        <v>30</v>
      </c>
      <c r="F62" s="4" t="s">
        <v>16</v>
      </c>
      <c r="G62" s="4" t="s">
        <v>108</v>
      </c>
      <c r="H62" s="4" t="s">
        <v>231</v>
      </c>
      <c r="I62" s="4">
        <v>72048</v>
      </c>
      <c r="J62" s="4" t="s">
        <v>65</v>
      </c>
      <c r="K62" s="4" t="s">
        <v>232</v>
      </c>
      <c r="L62" s="4" t="s">
        <v>36</v>
      </c>
      <c r="M62" s="1">
        <f>VLOOKUP(Employees!A62,Performance!A61:E561,3,0)</f>
        <v>4</v>
      </c>
    </row>
    <row r="63" spans="1:13" x14ac:dyDescent="0.3">
      <c r="A63" s="5" t="s">
        <v>233</v>
      </c>
      <c r="B63" s="5" t="s">
        <v>54</v>
      </c>
      <c r="C63" s="5" t="s">
        <v>90</v>
      </c>
      <c r="D63" s="5" t="s">
        <v>24</v>
      </c>
      <c r="E63" s="5">
        <v>33</v>
      </c>
      <c r="F63" s="5" t="s">
        <v>31</v>
      </c>
      <c r="G63" s="5" t="s">
        <v>32</v>
      </c>
      <c r="H63" s="5" t="s">
        <v>234</v>
      </c>
      <c r="I63" s="5">
        <v>76700</v>
      </c>
      <c r="J63" s="5" t="s">
        <v>60</v>
      </c>
      <c r="K63" s="5" t="s">
        <v>235</v>
      </c>
      <c r="L63" s="5" t="s">
        <v>36</v>
      </c>
      <c r="M63" s="1">
        <f>VLOOKUP(Employees!A63,Performance!A62:E562,3,0)</f>
        <v>5</v>
      </c>
    </row>
    <row r="64" spans="1:13" x14ac:dyDescent="0.3">
      <c r="A64" s="4" t="s">
        <v>236</v>
      </c>
      <c r="B64" s="4" t="s">
        <v>71</v>
      </c>
      <c r="C64" s="4" t="s">
        <v>130</v>
      </c>
      <c r="D64" s="4" t="s">
        <v>24</v>
      </c>
      <c r="E64" s="4">
        <v>22</v>
      </c>
      <c r="F64" s="4" t="s">
        <v>16</v>
      </c>
      <c r="G64" s="4" t="s">
        <v>40</v>
      </c>
      <c r="H64" s="4" t="s">
        <v>237</v>
      </c>
      <c r="I64" s="4">
        <v>86315</v>
      </c>
      <c r="J64" s="4" t="s">
        <v>60</v>
      </c>
      <c r="K64" s="4" t="s">
        <v>238</v>
      </c>
      <c r="L64" s="4" t="s">
        <v>36</v>
      </c>
      <c r="M64" s="1">
        <f>VLOOKUP(Employees!A64,Performance!A63:E563,3,0)</f>
        <v>1</v>
      </c>
    </row>
    <row r="65" spans="1:13" x14ac:dyDescent="0.3">
      <c r="A65" s="5" t="s">
        <v>239</v>
      </c>
      <c r="B65" s="5" t="s">
        <v>38</v>
      </c>
      <c r="C65" s="5" t="s">
        <v>83</v>
      </c>
      <c r="D65" s="5" t="s">
        <v>15</v>
      </c>
      <c r="E65" s="5">
        <v>49</v>
      </c>
      <c r="F65" s="5" t="s">
        <v>50</v>
      </c>
      <c r="G65" s="5" t="s">
        <v>32</v>
      </c>
      <c r="H65" s="5" t="s">
        <v>240</v>
      </c>
      <c r="I65" s="5">
        <v>85454</v>
      </c>
      <c r="J65" s="5" t="s">
        <v>34</v>
      </c>
      <c r="K65" s="5" t="s">
        <v>241</v>
      </c>
      <c r="L65" s="5" t="s">
        <v>21</v>
      </c>
      <c r="M65" s="1">
        <f>VLOOKUP(Employees!A65,Performance!A64:E564,3,0)</f>
        <v>3</v>
      </c>
    </row>
    <row r="66" spans="1:13" x14ac:dyDescent="0.3">
      <c r="A66" s="4" t="s">
        <v>242</v>
      </c>
      <c r="B66" s="4" t="s">
        <v>30</v>
      </c>
      <c r="C66" s="4" t="s">
        <v>90</v>
      </c>
      <c r="D66" s="4" t="s">
        <v>24</v>
      </c>
      <c r="E66" s="4">
        <v>31</v>
      </c>
      <c r="F66" s="4" t="s">
        <v>16</v>
      </c>
      <c r="G66" s="4" t="s">
        <v>32</v>
      </c>
      <c r="H66" s="4" t="s">
        <v>243</v>
      </c>
      <c r="I66" s="4">
        <v>83281</v>
      </c>
      <c r="J66" s="4" t="s">
        <v>60</v>
      </c>
      <c r="K66" s="4" t="s">
        <v>244</v>
      </c>
      <c r="L66" s="4" t="s">
        <v>36</v>
      </c>
      <c r="M66" s="1">
        <f>VLOOKUP(Employees!A66,Performance!A65:E565,3,0)</f>
        <v>3</v>
      </c>
    </row>
    <row r="67" spans="1:13" x14ac:dyDescent="0.3">
      <c r="A67" s="5" t="s">
        <v>245</v>
      </c>
      <c r="B67" s="5" t="s">
        <v>58</v>
      </c>
      <c r="C67" s="5" t="s">
        <v>165</v>
      </c>
      <c r="D67" s="5" t="s">
        <v>15</v>
      </c>
      <c r="E67" s="5">
        <v>31</v>
      </c>
      <c r="F67" s="5" t="s">
        <v>16</v>
      </c>
      <c r="G67" s="5" t="s">
        <v>40</v>
      </c>
      <c r="H67" s="5" t="s">
        <v>246</v>
      </c>
      <c r="I67" s="5">
        <v>44531</v>
      </c>
      <c r="J67" s="5" t="s">
        <v>34</v>
      </c>
      <c r="K67" s="5" t="s">
        <v>247</v>
      </c>
      <c r="L67" s="5" t="s">
        <v>21</v>
      </c>
      <c r="M67" s="1">
        <f>VLOOKUP(Employees!A67,Performance!A66:E566,3,0)</f>
        <v>5</v>
      </c>
    </row>
    <row r="68" spans="1:13" x14ac:dyDescent="0.3">
      <c r="A68" s="4" t="s">
        <v>248</v>
      </c>
      <c r="B68" s="4" t="s">
        <v>38</v>
      </c>
      <c r="C68" s="4" t="s">
        <v>130</v>
      </c>
      <c r="D68" s="4" t="s">
        <v>24</v>
      </c>
      <c r="E68" s="4">
        <v>36</v>
      </c>
      <c r="F68" s="4" t="s">
        <v>31</v>
      </c>
      <c r="G68" s="4" t="s">
        <v>17</v>
      </c>
      <c r="H68" s="4" t="s">
        <v>249</v>
      </c>
      <c r="I68" s="4">
        <v>44990</v>
      </c>
      <c r="J68" s="4" t="s">
        <v>80</v>
      </c>
      <c r="K68" s="4" t="s">
        <v>250</v>
      </c>
      <c r="L68" s="4" t="s">
        <v>21</v>
      </c>
      <c r="M68" s="1">
        <f>VLOOKUP(Employees!A68,Performance!A67:E567,3,0)</f>
        <v>3</v>
      </c>
    </row>
    <row r="69" spans="1:13" x14ac:dyDescent="0.3">
      <c r="A69" s="5" t="s">
        <v>251</v>
      </c>
      <c r="B69" s="5" t="s">
        <v>44</v>
      </c>
      <c r="C69" s="5" t="s">
        <v>23</v>
      </c>
      <c r="D69" s="5" t="s">
        <v>15</v>
      </c>
      <c r="E69" s="5">
        <v>34</v>
      </c>
      <c r="F69" s="5" t="s">
        <v>16</v>
      </c>
      <c r="G69" s="5" t="s">
        <v>32</v>
      </c>
      <c r="H69" s="5" t="s">
        <v>252</v>
      </c>
      <c r="I69" s="5">
        <v>39110</v>
      </c>
      <c r="J69" s="5" t="s">
        <v>34</v>
      </c>
      <c r="K69" s="5" t="s">
        <v>253</v>
      </c>
      <c r="L69" s="5" t="s">
        <v>36</v>
      </c>
      <c r="M69" s="1">
        <f>VLOOKUP(Employees!A69,Performance!A68:E568,3,0)</f>
        <v>2</v>
      </c>
    </row>
    <row r="70" spans="1:13" x14ac:dyDescent="0.3">
      <c r="A70" s="4" t="s">
        <v>254</v>
      </c>
      <c r="B70" s="4" t="s">
        <v>13</v>
      </c>
      <c r="C70" s="4" t="s">
        <v>45</v>
      </c>
      <c r="D70" s="4" t="s">
        <v>24</v>
      </c>
      <c r="E70" s="4">
        <v>35</v>
      </c>
      <c r="F70" s="4" t="s">
        <v>50</v>
      </c>
      <c r="G70" s="4" t="s">
        <v>40</v>
      </c>
      <c r="H70" s="4" t="s">
        <v>255</v>
      </c>
      <c r="I70" s="4">
        <v>60760</v>
      </c>
      <c r="J70" s="4" t="s">
        <v>80</v>
      </c>
      <c r="K70" s="4" t="s">
        <v>256</v>
      </c>
      <c r="L70" s="4" t="s">
        <v>36</v>
      </c>
      <c r="M70" s="1">
        <f>VLOOKUP(Employees!A70,Performance!A69:E569,3,0)</f>
        <v>4</v>
      </c>
    </row>
    <row r="71" spans="1:13" x14ac:dyDescent="0.3">
      <c r="A71" s="5" t="s">
        <v>257</v>
      </c>
      <c r="B71" s="5" t="s">
        <v>38</v>
      </c>
      <c r="C71" s="5" t="s">
        <v>90</v>
      </c>
      <c r="D71" s="5" t="s">
        <v>15</v>
      </c>
      <c r="E71" s="5">
        <v>27</v>
      </c>
      <c r="F71" s="5" t="s">
        <v>31</v>
      </c>
      <c r="G71" s="5" t="s">
        <v>26</v>
      </c>
      <c r="H71" s="5" t="s">
        <v>258</v>
      </c>
      <c r="I71" s="5">
        <v>118796</v>
      </c>
      <c r="J71" s="5" t="s">
        <v>60</v>
      </c>
      <c r="K71" s="5" t="s">
        <v>259</v>
      </c>
      <c r="L71" s="5" t="s">
        <v>36</v>
      </c>
      <c r="M71" s="1">
        <f>VLOOKUP(Employees!A71,Performance!A70:E570,3,0)</f>
        <v>4</v>
      </c>
    </row>
    <row r="72" spans="1:13" x14ac:dyDescent="0.3">
      <c r="A72" s="4" t="s">
        <v>260</v>
      </c>
      <c r="B72" s="4" t="s">
        <v>71</v>
      </c>
      <c r="C72" s="4" t="s">
        <v>90</v>
      </c>
      <c r="D72" s="4" t="s">
        <v>15</v>
      </c>
      <c r="E72" s="4">
        <v>49</v>
      </c>
      <c r="F72" s="4" t="s">
        <v>31</v>
      </c>
      <c r="G72" s="4" t="s">
        <v>17</v>
      </c>
      <c r="H72" s="4" t="s">
        <v>261</v>
      </c>
      <c r="I72" s="4">
        <v>88225</v>
      </c>
      <c r="J72" s="4" t="s">
        <v>34</v>
      </c>
      <c r="K72" s="4" t="s">
        <v>262</v>
      </c>
      <c r="L72" s="4" t="s">
        <v>21</v>
      </c>
      <c r="M72" s="1">
        <f>VLOOKUP(Employees!A72,Performance!A71:E571,3,0)</f>
        <v>2</v>
      </c>
    </row>
    <row r="73" spans="1:13" x14ac:dyDescent="0.3">
      <c r="A73" s="5" t="s">
        <v>263</v>
      </c>
      <c r="B73" s="5" t="s">
        <v>49</v>
      </c>
      <c r="C73" s="5" t="s">
        <v>90</v>
      </c>
      <c r="D73" s="5" t="s">
        <v>15</v>
      </c>
      <c r="E73" s="5">
        <v>22</v>
      </c>
      <c r="F73" s="5" t="s">
        <v>31</v>
      </c>
      <c r="G73" s="5" t="s">
        <v>108</v>
      </c>
      <c r="H73" s="5" t="s">
        <v>264</v>
      </c>
      <c r="I73" s="5">
        <v>64891</v>
      </c>
      <c r="J73" s="5" t="s">
        <v>65</v>
      </c>
      <c r="K73" s="5" t="s">
        <v>265</v>
      </c>
      <c r="L73" s="5" t="s">
        <v>21</v>
      </c>
      <c r="M73" s="1">
        <f>VLOOKUP(Employees!A73,Performance!A72:E572,3,0)</f>
        <v>4</v>
      </c>
    </row>
    <row r="74" spans="1:13" x14ac:dyDescent="0.3">
      <c r="A74" s="4" t="s">
        <v>266</v>
      </c>
      <c r="B74" s="4" t="s">
        <v>44</v>
      </c>
      <c r="C74" s="4" t="s">
        <v>45</v>
      </c>
      <c r="D74" s="4" t="s">
        <v>24</v>
      </c>
      <c r="E74" s="4">
        <v>48</v>
      </c>
      <c r="F74" s="4" t="s">
        <v>50</v>
      </c>
      <c r="G74" s="4" t="s">
        <v>32</v>
      </c>
      <c r="H74" s="4" t="s">
        <v>267</v>
      </c>
      <c r="I74" s="4">
        <v>72035</v>
      </c>
      <c r="J74" s="4" t="s">
        <v>19</v>
      </c>
      <c r="K74" s="4" t="s">
        <v>268</v>
      </c>
      <c r="L74" s="4" t="s">
        <v>21</v>
      </c>
      <c r="M74" s="1">
        <f>VLOOKUP(Employees!A74,Performance!A73:E573,3,0)</f>
        <v>3</v>
      </c>
    </row>
    <row r="75" spans="1:13" x14ac:dyDescent="0.3">
      <c r="A75" s="5" t="s">
        <v>269</v>
      </c>
      <c r="B75" s="5" t="s">
        <v>13</v>
      </c>
      <c r="C75" s="5" t="s">
        <v>130</v>
      </c>
      <c r="D75" s="5" t="s">
        <v>24</v>
      </c>
      <c r="E75" s="5">
        <v>30</v>
      </c>
      <c r="F75" s="5" t="s">
        <v>16</v>
      </c>
      <c r="G75" s="5" t="s">
        <v>17</v>
      </c>
      <c r="H75" s="5" t="s">
        <v>270</v>
      </c>
      <c r="I75" s="5">
        <v>50545</v>
      </c>
      <c r="J75" s="5" t="s">
        <v>80</v>
      </c>
      <c r="K75" s="5" t="s">
        <v>271</v>
      </c>
      <c r="L75" s="5" t="s">
        <v>21</v>
      </c>
      <c r="M75" s="1">
        <f>VLOOKUP(Employees!A75,Performance!A74:E574,3,0)</f>
        <v>3</v>
      </c>
    </row>
    <row r="76" spans="1:13" x14ac:dyDescent="0.3">
      <c r="A76" s="4" t="s">
        <v>272</v>
      </c>
      <c r="B76" s="4" t="s">
        <v>143</v>
      </c>
      <c r="C76" s="4" t="s">
        <v>23</v>
      </c>
      <c r="D76" s="4" t="s">
        <v>24</v>
      </c>
      <c r="E76" s="4">
        <v>36</v>
      </c>
      <c r="F76" s="4" t="s">
        <v>16</v>
      </c>
      <c r="G76" s="4" t="s">
        <v>32</v>
      </c>
      <c r="H76" s="4" t="s">
        <v>273</v>
      </c>
      <c r="I76" s="4">
        <v>79385</v>
      </c>
      <c r="J76" s="4" t="s">
        <v>34</v>
      </c>
      <c r="K76" s="4" t="s">
        <v>274</v>
      </c>
      <c r="L76" s="4" t="s">
        <v>21</v>
      </c>
      <c r="M76" s="1">
        <f>VLOOKUP(Employees!A76,Performance!A75:E575,3,0)</f>
        <v>5</v>
      </c>
    </row>
    <row r="77" spans="1:13" x14ac:dyDescent="0.3">
      <c r="A77" s="5" t="s">
        <v>275</v>
      </c>
      <c r="B77" s="5" t="s">
        <v>54</v>
      </c>
      <c r="C77" s="5" t="s">
        <v>14</v>
      </c>
      <c r="D77" s="5" t="s">
        <v>15</v>
      </c>
      <c r="E77" s="5">
        <v>52</v>
      </c>
      <c r="F77" s="5" t="s">
        <v>50</v>
      </c>
      <c r="G77" s="5" t="s">
        <v>32</v>
      </c>
      <c r="H77" s="5" t="s">
        <v>276</v>
      </c>
      <c r="I77" s="5">
        <v>48744</v>
      </c>
      <c r="J77" s="5" t="s">
        <v>65</v>
      </c>
      <c r="K77" s="5" t="s">
        <v>277</v>
      </c>
      <c r="L77" s="5" t="s">
        <v>36</v>
      </c>
      <c r="M77" s="1">
        <f>VLOOKUP(Employees!A77,Performance!A76:E576,3,0)</f>
        <v>3</v>
      </c>
    </row>
    <row r="78" spans="1:13" x14ac:dyDescent="0.3">
      <c r="A78" s="4" t="s">
        <v>278</v>
      </c>
      <c r="B78" s="4" t="s">
        <v>143</v>
      </c>
      <c r="C78" s="4" t="s">
        <v>95</v>
      </c>
      <c r="D78" s="4" t="s">
        <v>24</v>
      </c>
      <c r="E78" s="4">
        <v>53</v>
      </c>
      <c r="F78" s="4" t="s">
        <v>25</v>
      </c>
      <c r="G78" s="4" t="s">
        <v>108</v>
      </c>
      <c r="H78" s="4" t="s">
        <v>279</v>
      </c>
      <c r="I78" s="4">
        <v>48865</v>
      </c>
      <c r="J78" s="4" t="s">
        <v>60</v>
      </c>
      <c r="K78" s="4" t="s">
        <v>280</v>
      </c>
      <c r="L78" s="4" t="s">
        <v>21</v>
      </c>
      <c r="M78" s="1">
        <f>VLOOKUP(Employees!A78,Performance!A77:E577,3,0)</f>
        <v>1</v>
      </c>
    </row>
    <row r="79" spans="1:13" x14ac:dyDescent="0.3">
      <c r="A79" s="5" t="s">
        <v>281</v>
      </c>
      <c r="B79" s="5" t="s">
        <v>49</v>
      </c>
      <c r="C79" s="5" t="s">
        <v>63</v>
      </c>
      <c r="D79" s="5" t="s">
        <v>15</v>
      </c>
      <c r="E79" s="5">
        <v>53</v>
      </c>
      <c r="F79" s="5" t="s">
        <v>50</v>
      </c>
      <c r="G79" s="5" t="s">
        <v>17</v>
      </c>
      <c r="H79" s="5" t="s">
        <v>282</v>
      </c>
      <c r="I79" s="5">
        <v>73437</v>
      </c>
      <c r="J79" s="5" t="s">
        <v>65</v>
      </c>
      <c r="K79" s="5" t="s">
        <v>283</v>
      </c>
      <c r="L79" s="5" t="s">
        <v>36</v>
      </c>
      <c r="M79" s="1">
        <f>VLOOKUP(Employees!A79,Performance!A78:E578,3,0)</f>
        <v>4</v>
      </c>
    </row>
    <row r="80" spans="1:13" x14ac:dyDescent="0.3">
      <c r="A80" s="4" t="s">
        <v>284</v>
      </c>
      <c r="B80" s="4" t="s">
        <v>54</v>
      </c>
      <c r="C80" s="4" t="s">
        <v>165</v>
      </c>
      <c r="D80" s="4" t="s">
        <v>15</v>
      </c>
      <c r="E80" s="4">
        <v>25</v>
      </c>
      <c r="F80" s="4" t="s">
        <v>39</v>
      </c>
      <c r="G80" s="4" t="s">
        <v>17</v>
      </c>
      <c r="H80" s="4" t="s">
        <v>285</v>
      </c>
      <c r="I80" s="4">
        <v>75232</v>
      </c>
      <c r="J80" s="4" t="s">
        <v>80</v>
      </c>
      <c r="K80" s="4" t="s">
        <v>286</v>
      </c>
      <c r="L80" s="4" t="s">
        <v>21</v>
      </c>
      <c r="M80" s="1">
        <f>VLOOKUP(Employees!A80,Performance!A79:E579,3,0)</f>
        <v>1</v>
      </c>
    </row>
    <row r="81" spans="1:13" x14ac:dyDescent="0.3">
      <c r="A81" s="5" t="s">
        <v>287</v>
      </c>
      <c r="B81" s="5" t="s">
        <v>71</v>
      </c>
      <c r="C81" s="5" t="s">
        <v>14</v>
      </c>
      <c r="D81" s="5" t="s">
        <v>15</v>
      </c>
      <c r="E81" s="5">
        <v>48</v>
      </c>
      <c r="F81" s="5" t="s">
        <v>31</v>
      </c>
      <c r="G81" s="5" t="s">
        <v>17</v>
      </c>
      <c r="H81" s="5" t="s">
        <v>288</v>
      </c>
      <c r="I81" s="5">
        <v>53034</v>
      </c>
      <c r="J81" s="5" t="s">
        <v>65</v>
      </c>
      <c r="K81" s="5" t="s">
        <v>289</v>
      </c>
      <c r="L81" s="5" t="s">
        <v>21</v>
      </c>
      <c r="M81" s="1">
        <f>VLOOKUP(Employees!A81,Performance!A80:E580,3,0)</f>
        <v>2</v>
      </c>
    </row>
    <row r="82" spans="1:13" x14ac:dyDescent="0.3">
      <c r="A82" s="4" t="s">
        <v>290</v>
      </c>
      <c r="B82" s="4" t="s">
        <v>71</v>
      </c>
      <c r="C82" s="4" t="s">
        <v>23</v>
      </c>
      <c r="D82" s="4" t="s">
        <v>24</v>
      </c>
      <c r="E82" s="4">
        <v>45</v>
      </c>
      <c r="F82" s="4" t="s">
        <v>16</v>
      </c>
      <c r="G82" s="4" t="s">
        <v>17</v>
      </c>
      <c r="H82" s="4" t="s">
        <v>291</v>
      </c>
      <c r="I82" s="4">
        <v>110168</v>
      </c>
      <c r="J82" s="4" t="s">
        <v>60</v>
      </c>
      <c r="K82" s="4" t="s">
        <v>292</v>
      </c>
      <c r="L82" s="4" t="s">
        <v>36</v>
      </c>
      <c r="M82" s="1">
        <f>VLOOKUP(Employees!A82,Performance!A81:E581,3,0)</f>
        <v>4</v>
      </c>
    </row>
    <row r="83" spans="1:13" x14ac:dyDescent="0.3">
      <c r="A83" s="5" t="s">
        <v>293</v>
      </c>
      <c r="B83" s="5" t="s">
        <v>38</v>
      </c>
      <c r="C83" s="5" t="s">
        <v>78</v>
      </c>
      <c r="D83" s="5" t="s">
        <v>15</v>
      </c>
      <c r="E83" s="5">
        <v>51</v>
      </c>
      <c r="F83" s="5" t="s">
        <v>25</v>
      </c>
      <c r="G83" s="5" t="s">
        <v>32</v>
      </c>
      <c r="H83" s="5" t="s">
        <v>294</v>
      </c>
      <c r="I83" s="5">
        <v>107488</v>
      </c>
      <c r="J83" s="5" t="s">
        <v>34</v>
      </c>
      <c r="K83" s="5" t="s">
        <v>295</v>
      </c>
      <c r="L83" s="5" t="s">
        <v>36</v>
      </c>
      <c r="M83" s="1">
        <f>VLOOKUP(Employees!A83,Performance!A82:E582,3,0)</f>
        <v>1</v>
      </c>
    </row>
    <row r="84" spans="1:13" x14ac:dyDescent="0.3">
      <c r="A84" s="4" t="s">
        <v>296</v>
      </c>
      <c r="B84" s="4" t="s">
        <v>44</v>
      </c>
      <c r="C84" s="4" t="s">
        <v>45</v>
      </c>
      <c r="D84" s="4" t="s">
        <v>15</v>
      </c>
      <c r="E84" s="4">
        <v>50</v>
      </c>
      <c r="F84" s="4" t="s">
        <v>31</v>
      </c>
      <c r="G84" s="4" t="s">
        <v>17</v>
      </c>
      <c r="H84" s="4" t="s">
        <v>297</v>
      </c>
      <c r="I84" s="4">
        <v>53754</v>
      </c>
      <c r="J84" s="4" t="s">
        <v>34</v>
      </c>
      <c r="K84" s="4" t="s">
        <v>298</v>
      </c>
      <c r="L84" s="4" t="s">
        <v>36</v>
      </c>
      <c r="M84" s="1">
        <f>VLOOKUP(Employees!A84,Performance!A83:E583,3,0)</f>
        <v>3</v>
      </c>
    </row>
    <row r="85" spans="1:13" x14ac:dyDescent="0.3">
      <c r="A85" s="5" t="s">
        <v>299</v>
      </c>
      <c r="B85" s="5" t="s">
        <v>94</v>
      </c>
      <c r="C85" s="5" t="s">
        <v>130</v>
      </c>
      <c r="D85" s="5" t="s">
        <v>24</v>
      </c>
      <c r="E85" s="5">
        <v>47</v>
      </c>
      <c r="F85" s="5" t="s">
        <v>16</v>
      </c>
      <c r="G85" s="5" t="s">
        <v>32</v>
      </c>
      <c r="H85" s="5" t="s">
        <v>300</v>
      </c>
      <c r="I85" s="5">
        <v>99891</v>
      </c>
      <c r="J85" s="5" t="s">
        <v>34</v>
      </c>
      <c r="K85" s="5" t="s">
        <v>301</v>
      </c>
      <c r="L85" s="5" t="s">
        <v>36</v>
      </c>
      <c r="M85" s="1">
        <f>VLOOKUP(Employees!A85,Performance!A84:E584,3,0)</f>
        <v>2</v>
      </c>
    </row>
    <row r="86" spans="1:13" x14ac:dyDescent="0.3">
      <c r="A86" s="4" t="s">
        <v>302</v>
      </c>
      <c r="B86" s="4" t="s">
        <v>54</v>
      </c>
      <c r="C86" s="4" t="s">
        <v>90</v>
      </c>
      <c r="D86" s="4" t="s">
        <v>24</v>
      </c>
      <c r="E86" s="4">
        <v>37</v>
      </c>
      <c r="F86" s="4" t="s">
        <v>31</v>
      </c>
      <c r="G86" s="4" t="s">
        <v>26</v>
      </c>
      <c r="H86" s="4" t="s">
        <v>303</v>
      </c>
      <c r="I86" s="4">
        <v>109363</v>
      </c>
      <c r="J86" s="4" t="s">
        <v>60</v>
      </c>
      <c r="K86" s="4" t="s">
        <v>304</v>
      </c>
      <c r="L86" s="4" t="s">
        <v>36</v>
      </c>
      <c r="M86" s="1">
        <f>VLOOKUP(Employees!A86,Performance!A85:E585,3,0)</f>
        <v>4</v>
      </c>
    </row>
    <row r="87" spans="1:13" x14ac:dyDescent="0.3">
      <c r="A87" s="5" t="s">
        <v>305</v>
      </c>
      <c r="B87" s="5" t="s">
        <v>58</v>
      </c>
      <c r="C87" s="5" t="s">
        <v>78</v>
      </c>
      <c r="D87" s="5" t="s">
        <v>24</v>
      </c>
      <c r="E87" s="5">
        <v>26</v>
      </c>
      <c r="F87" s="5" t="s">
        <v>39</v>
      </c>
      <c r="G87" s="5" t="s">
        <v>40</v>
      </c>
      <c r="H87" s="5" t="s">
        <v>144</v>
      </c>
      <c r="I87" s="5">
        <v>57248</v>
      </c>
      <c r="J87" s="5" t="s">
        <v>19</v>
      </c>
      <c r="K87" s="5" t="s">
        <v>306</v>
      </c>
      <c r="L87" s="5" t="s">
        <v>21</v>
      </c>
      <c r="M87" s="1">
        <f>VLOOKUP(Employees!A87,Performance!A86:E586,3,0)</f>
        <v>3</v>
      </c>
    </row>
    <row r="88" spans="1:13" x14ac:dyDescent="0.3">
      <c r="A88" s="4" t="s">
        <v>307</v>
      </c>
      <c r="B88" s="4" t="s">
        <v>44</v>
      </c>
      <c r="C88" s="4" t="s">
        <v>95</v>
      </c>
      <c r="D88" s="4" t="s">
        <v>15</v>
      </c>
      <c r="E88" s="4">
        <v>28</v>
      </c>
      <c r="F88" s="4" t="s">
        <v>50</v>
      </c>
      <c r="G88" s="4" t="s">
        <v>108</v>
      </c>
      <c r="H88" s="4" t="s">
        <v>308</v>
      </c>
      <c r="I88" s="4">
        <v>89625</v>
      </c>
      <c r="J88" s="4" t="s">
        <v>60</v>
      </c>
      <c r="K88" s="4" t="s">
        <v>309</v>
      </c>
      <c r="L88" s="4" t="s">
        <v>36</v>
      </c>
      <c r="M88" s="1">
        <f>VLOOKUP(Employees!A88,Performance!A87:E587,3,0)</f>
        <v>5</v>
      </c>
    </row>
    <row r="89" spans="1:13" x14ac:dyDescent="0.3">
      <c r="A89" s="5" t="s">
        <v>310</v>
      </c>
      <c r="B89" s="5" t="s">
        <v>49</v>
      </c>
      <c r="C89" s="5" t="s">
        <v>45</v>
      </c>
      <c r="D89" s="5" t="s">
        <v>15</v>
      </c>
      <c r="E89" s="5">
        <v>44</v>
      </c>
      <c r="F89" s="5" t="s">
        <v>39</v>
      </c>
      <c r="G89" s="5" t="s">
        <v>17</v>
      </c>
      <c r="H89" s="5" t="s">
        <v>311</v>
      </c>
      <c r="I89" s="5">
        <v>104211</v>
      </c>
      <c r="J89" s="5" t="s">
        <v>65</v>
      </c>
      <c r="K89" s="5" t="s">
        <v>312</v>
      </c>
      <c r="L89" s="5" t="s">
        <v>36</v>
      </c>
      <c r="M89" s="1">
        <f>VLOOKUP(Employees!A89,Performance!A88:E588,3,0)</f>
        <v>5</v>
      </c>
    </row>
    <row r="90" spans="1:13" x14ac:dyDescent="0.3">
      <c r="A90" s="4" t="s">
        <v>313</v>
      </c>
      <c r="B90" s="4" t="s">
        <v>54</v>
      </c>
      <c r="C90" s="4" t="s">
        <v>90</v>
      </c>
      <c r="D90" s="4" t="s">
        <v>15</v>
      </c>
      <c r="E90" s="4">
        <v>36</v>
      </c>
      <c r="F90" s="4" t="s">
        <v>25</v>
      </c>
      <c r="G90" s="4" t="s">
        <v>32</v>
      </c>
      <c r="H90" s="4" t="s">
        <v>314</v>
      </c>
      <c r="I90" s="4">
        <v>82819</v>
      </c>
      <c r="J90" s="4" t="s">
        <v>34</v>
      </c>
      <c r="K90" s="4" t="s">
        <v>315</v>
      </c>
      <c r="L90" s="4" t="s">
        <v>36</v>
      </c>
      <c r="M90" s="1">
        <f>VLOOKUP(Employees!A90,Performance!A89:E589,3,0)</f>
        <v>1</v>
      </c>
    </row>
    <row r="91" spans="1:13" x14ac:dyDescent="0.3">
      <c r="A91" s="5" t="s">
        <v>316</v>
      </c>
      <c r="B91" s="5" t="s">
        <v>30</v>
      </c>
      <c r="C91" s="5" t="s">
        <v>90</v>
      </c>
      <c r="D91" s="5" t="s">
        <v>15</v>
      </c>
      <c r="E91" s="5">
        <v>54</v>
      </c>
      <c r="F91" s="5" t="s">
        <v>25</v>
      </c>
      <c r="G91" s="5" t="s">
        <v>32</v>
      </c>
      <c r="H91" s="5" t="s">
        <v>317</v>
      </c>
      <c r="I91" s="5">
        <v>105392</v>
      </c>
      <c r="J91" s="5" t="s">
        <v>80</v>
      </c>
      <c r="K91" s="5" t="s">
        <v>318</v>
      </c>
      <c r="L91" s="5" t="s">
        <v>21</v>
      </c>
      <c r="M91" s="1">
        <f>VLOOKUP(Employees!A91,Performance!A90:E590,3,0)</f>
        <v>3</v>
      </c>
    </row>
    <row r="92" spans="1:13" x14ac:dyDescent="0.3">
      <c r="A92" s="4" t="s">
        <v>319</v>
      </c>
      <c r="B92" s="4" t="s">
        <v>58</v>
      </c>
      <c r="C92" s="4" t="s">
        <v>23</v>
      </c>
      <c r="D92" s="4" t="s">
        <v>24</v>
      </c>
      <c r="E92" s="4">
        <v>49</v>
      </c>
      <c r="F92" s="4" t="s">
        <v>50</v>
      </c>
      <c r="G92" s="4" t="s">
        <v>17</v>
      </c>
      <c r="H92" s="4" t="s">
        <v>320</v>
      </c>
      <c r="I92" s="4">
        <v>52568</v>
      </c>
      <c r="J92" s="4" t="s">
        <v>34</v>
      </c>
      <c r="K92" s="4" t="s">
        <v>321</v>
      </c>
      <c r="L92" s="4" t="s">
        <v>21</v>
      </c>
      <c r="M92" s="1">
        <f>VLOOKUP(Employees!A92,Performance!A91:E591,3,0)</f>
        <v>1</v>
      </c>
    </row>
    <row r="93" spans="1:13" x14ac:dyDescent="0.3">
      <c r="A93" s="5" t="s">
        <v>322</v>
      </c>
      <c r="B93" s="5" t="s">
        <v>71</v>
      </c>
      <c r="C93" s="5" t="s">
        <v>90</v>
      </c>
      <c r="D93" s="5" t="s">
        <v>15</v>
      </c>
      <c r="E93" s="5">
        <v>35</v>
      </c>
      <c r="F93" s="5" t="s">
        <v>25</v>
      </c>
      <c r="G93" s="5" t="s">
        <v>17</v>
      </c>
      <c r="H93" s="5" t="s">
        <v>323</v>
      </c>
      <c r="I93" s="5">
        <v>119403</v>
      </c>
      <c r="J93" s="5" t="s">
        <v>60</v>
      </c>
      <c r="K93" s="5" t="s">
        <v>324</v>
      </c>
      <c r="L93" s="5" t="s">
        <v>36</v>
      </c>
      <c r="M93" s="1">
        <f>VLOOKUP(Employees!A93,Performance!A92:E592,3,0)</f>
        <v>3</v>
      </c>
    </row>
    <row r="94" spans="1:13" x14ac:dyDescent="0.3">
      <c r="A94" s="4" t="s">
        <v>325</v>
      </c>
      <c r="B94" s="4" t="s">
        <v>49</v>
      </c>
      <c r="C94" s="4" t="s">
        <v>78</v>
      </c>
      <c r="D94" s="4" t="s">
        <v>15</v>
      </c>
      <c r="E94" s="4">
        <v>44</v>
      </c>
      <c r="F94" s="4" t="s">
        <v>50</v>
      </c>
      <c r="G94" s="4" t="s">
        <v>32</v>
      </c>
      <c r="H94" s="4" t="s">
        <v>326</v>
      </c>
      <c r="I94" s="4">
        <v>54883</v>
      </c>
      <c r="J94" s="4" t="s">
        <v>34</v>
      </c>
      <c r="K94" s="4" t="s">
        <v>327</v>
      </c>
      <c r="L94" s="4" t="s">
        <v>36</v>
      </c>
      <c r="M94" s="1">
        <f>VLOOKUP(Employees!A94,Performance!A93:E593,3,0)</f>
        <v>2</v>
      </c>
    </row>
    <row r="95" spans="1:13" x14ac:dyDescent="0.3">
      <c r="A95" s="5" t="s">
        <v>328</v>
      </c>
      <c r="B95" s="5" t="s">
        <v>49</v>
      </c>
      <c r="C95" s="5" t="s">
        <v>78</v>
      </c>
      <c r="D95" s="5" t="s">
        <v>15</v>
      </c>
      <c r="E95" s="5">
        <v>44</v>
      </c>
      <c r="F95" s="5" t="s">
        <v>16</v>
      </c>
      <c r="G95" s="5" t="s">
        <v>32</v>
      </c>
      <c r="H95" s="5" t="s">
        <v>329</v>
      </c>
      <c r="I95" s="5">
        <v>83855</v>
      </c>
      <c r="J95" s="5" t="s">
        <v>34</v>
      </c>
      <c r="K95" s="5" t="s">
        <v>330</v>
      </c>
      <c r="L95" s="5" t="s">
        <v>36</v>
      </c>
      <c r="M95" s="1">
        <f>VLOOKUP(Employees!A95,Performance!A94:E594,3,0)</f>
        <v>1</v>
      </c>
    </row>
    <row r="96" spans="1:13" x14ac:dyDescent="0.3">
      <c r="A96" s="4" t="s">
        <v>331</v>
      </c>
      <c r="B96" s="4" t="s">
        <v>94</v>
      </c>
      <c r="C96" s="4" t="s">
        <v>63</v>
      </c>
      <c r="D96" s="4" t="s">
        <v>24</v>
      </c>
      <c r="E96" s="4">
        <v>53</v>
      </c>
      <c r="F96" s="4" t="s">
        <v>31</v>
      </c>
      <c r="G96" s="4" t="s">
        <v>40</v>
      </c>
      <c r="H96" s="4" t="s">
        <v>332</v>
      </c>
      <c r="I96" s="4">
        <v>43725</v>
      </c>
      <c r="J96" s="4" t="s">
        <v>65</v>
      </c>
      <c r="K96" s="4" t="s">
        <v>333</v>
      </c>
      <c r="L96" s="4" t="s">
        <v>21</v>
      </c>
      <c r="M96" s="1">
        <f>VLOOKUP(Employees!A96,Performance!A95:E595,3,0)</f>
        <v>2</v>
      </c>
    </row>
    <row r="97" spans="1:13" x14ac:dyDescent="0.3">
      <c r="A97" s="5" t="s">
        <v>334</v>
      </c>
      <c r="B97" s="5" t="s">
        <v>54</v>
      </c>
      <c r="C97" s="5" t="s">
        <v>45</v>
      </c>
      <c r="D97" s="5" t="s">
        <v>15</v>
      </c>
      <c r="E97" s="5">
        <v>24</v>
      </c>
      <c r="F97" s="5" t="s">
        <v>31</v>
      </c>
      <c r="G97" s="5" t="s">
        <v>40</v>
      </c>
      <c r="H97" s="5" t="s">
        <v>335</v>
      </c>
      <c r="I97" s="5">
        <v>104506</v>
      </c>
      <c r="J97" s="5" t="s">
        <v>65</v>
      </c>
      <c r="K97" s="5" t="s">
        <v>336</v>
      </c>
      <c r="L97" s="5" t="s">
        <v>21</v>
      </c>
      <c r="M97" s="1">
        <f>VLOOKUP(Employees!A97,Performance!A96:E596,3,0)</f>
        <v>4</v>
      </c>
    </row>
    <row r="98" spans="1:13" x14ac:dyDescent="0.3">
      <c r="A98" s="4" t="s">
        <v>337</v>
      </c>
      <c r="B98" s="4" t="s">
        <v>38</v>
      </c>
      <c r="C98" s="4" t="s">
        <v>90</v>
      </c>
      <c r="D98" s="4" t="s">
        <v>15</v>
      </c>
      <c r="E98" s="4">
        <v>45</v>
      </c>
      <c r="F98" s="4" t="s">
        <v>25</v>
      </c>
      <c r="G98" s="4" t="s">
        <v>40</v>
      </c>
      <c r="H98" s="4" t="s">
        <v>338</v>
      </c>
      <c r="I98" s="4">
        <v>36873</v>
      </c>
      <c r="J98" s="4" t="s">
        <v>65</v>
      </c>
      <c r="K98" s="4" t="s">
        <v>339</v>
      </c>
      <c r="L98" s="4" t="s">
        <v>36</v>
      </c>
      <c r="M98" s="1">
        <f>VLOOKUP(Employees!A98,Performance!A97:E597,3,0)</f>
        <v>2</v>
      </c>
    </row>
    <row r="99" spans="1:13" x14ac:dyDescent="0.3">
      <c r="A99" s="5" t="s">
        <v>340</v>
      </c>
      <c r="B99" s="5" t="s">
        <v>13</v>
      </c>
      <c r="C99" s="5" t="s">
        <v>90</v>
      </c>
      <c r="D99" s="5" t="s">
        <v>24</v>
      </c>
      <c r="E99" s="5">
        <v>25</v>
      </c>
      <c r="F99" s="5" t="s">
        <v>39</v>
      </c>
      <c r="G99" s="5" t="s">
        <v>40</v>
      </c>
      <c r="H99" s="5" t="s">
        <v>341</v>
      </c>
      <c r="I99" s="5">
        <v>50051</v>
      </c>
      <c r="J99" s="5" t="s">
        <v>19</v>
      </c>
      <c r="K99" s="5" t="s">
        <v>342</v>
      </c>
      <c r="L99" s="5" t="s">
        <v>21</v>
      </c>
      <c r="M99" s="1">
        <f>VLOOKUP(Employees!A99,Performance!A98:E598,3,0)</f>
        <v>2</v>
      </c>
    </row>
    <row r="100" spans="1:13" x14ac:dyDescent="0.3">
      <c r="A100" s="4" t="s">
        <v>343</v>
      </c>
      <c r="B100" s="4" t="s">
        <v>38</v>
      </c>
      <c r="C100" s="4" t="s">
        <v>78</v>
      </c>
      <c r="D100" s="4" t="s">
        <v>24</v>
      </c>
      <c r="E100" s="4">
        <v>42</v>
      </c>
      <c r="F100" s="4" t="s">
        <v>31</v>
      </c>
      <c r="G100" s="4" t="s">
        <v>40</v>
      </c>
      <c r="H100" s="4" t="s">
        <v>344</v>
      </c>
      <c r="I100" s="4">
        <v>42571</v>
      </c>
      <c r="J100" s="4" t="s">
        <v>34</v>
      </c>
      <c r="K100" s="4" t="s">
        <v>345</v>
      </c>
      <c r="L100" s="4" t="s">
        <v>36</v>
      </c>
      <c r="M100" s="1">
        <f>VLOOKUP(Employees!A100,Performance!A99:E599,3,0)</f>
        <v>4</v>
      </c>
    </row>
    <row r="101" spans="1:13" x14ac:dyDescent="0.3">
      <c r="A101" s="5" t="s">
        <v>346</v>
      </c>
      <c r="B101" s="5" t="s">
        <v>38</v>
      </c>
      <c r="C101" s="5" t="s">
        <v>23</v>
      </c>
      <c r="D101" s="5" t="s">
        <v>24</v>
      </c>
      <c r="E101" s="5">
        <v>60</v>
      </c>
      <c r="F101" s="5" t="s">
        <v>50</v>
      </c>
      <c r="G101" s="5" t="s">
        <v>17</v>
      </c>
      <c r="H101" s="5" t="s">
        <v>347</v>
      </c>
      <c r="I101" s="5">
        <v>60616</v>
      </c>
      <c r="J101" s="5" t="s">
        <v>80</v>
      </c>
      <c r="K101" s="5" t="s">
        <v>348</v>
      </c>
      <c r="L101" s="5" t="s">
        <v>36</v>
      </c>
      <c r="M101" s="1">
        <f>VLOOKUP(Employees!A101,Performance!A100:E600,3,0)</f>
        <v>1</v>
      </c>
    </row>
    <row r="102" spans="1:13" x14ac:dyDescent="0.3">
      <c r="A102" s="4" t="s">
        <v>349</v>
      </c>
      <c r="B102" s="4" t="s">
        <v>44</v>
      </c>
      <c r="C102" s="4" t="s">
        <v>95</v>
      </c>
      <c r="D102" s="4" t="s">
        <v>24</v>
      </c>
      <c r="E102" s="4">
        <v>57</v>
      </c>
      <c r="F102" s="4" t="s">
        <v>25</v>
      </c>
      <c r="G102" s="4" t="s">
        <v>32</v>
      </c>
      <c r="H102" s="4" t="s">
        <v>350</v>
      </c>
      <c r="I102" s="4">
        <v>75929</v>
      </c>
      <c r="J102" s="4" t="s">
        <v>19</v>
      </c>
      <c r="K102" s="4" t="s">
        <v>351</v>
      </c>
      <c r="L102" s="4" t="s">
        <v>36</v>
      </c>
      <c r="M102" s="1">
        <f>VLOOKUP(Employees!A102,Performance!A101:E601,3,0)</f>
        <v>5</v>
      </c>
    </row>
    <row r="103" spans="1:13" x14ac:dyDescent="0.3">
      <c r="A103" s="5" t="s">
        <v>352</v>
      </c>
      <c r="B103" s="5" t="s">
        <v>71</v>
      </c>
      <c r="C103" s="5" t="s">
        <v>83</v>
      </c>
      <c r="D103" s="5" t="s">
        <v>24</v>
      </c>
      <c r="E103" s="5">
        <v>43</v>
      </c>
      <c r="F103" s="5" t="s">
        <v>50</v>
      </c>
      <c r="G103" s="5" t="s">
        <v>108</v>
      </c>
      <c r="H103" s="5" t="s">
        <v>353</v>
      </c>
      <c r="I103" s="5">
        <v>106165</v>
      </c>
      <c r="J103" s="5" t="s">
        <v>80</v>
      </c>
      <c r="K103" s="5" t="s">
        <v>354</v>
      </c>
      <c r="L103" s="5" t="s">
        <v>36</v>
      </c>
      <c r="M103" s="1">
        <f>VLOOKUP(Employees!A103,Performance!A102:E602,3,0)</f>
        <v>5</v>
      </c>
    </row>
    <row r="104" spans="1:13" x14ac:dyDescent="0.3">
      <c r="A104" s="4" t="s">
        <v>355</v>
      </c>
      <c r="B104" s="4" t="s">
        <v>49</v>
      </c>
      <c r="C104" s="4" t="s">
        <v>23</v>
      </c>
      <c r="D104" s="4" t="s">
        <v>24</v>
      </c>
      <c r="E104" s="4">
        <v>23</v>
      </c>
      <c r="F104" s="4" t="s">
        <v>50</v>
      </c>
      <c r="G104" s="4" t="s">
        <v>26</v>
      </c>
      <c r="H104" s="4" t="s">
        <v>356</v>
      </c>
      <c r="I104" s="4">
        <v>44946</v>
      </c>
      <c r="J104" s="4" t="s">
        <v>60</v>
      </c>
      <c r="K104" s="4" t="s">
        <v>357</v>
      </c>
      <c r="L104" s="4" t="s">
        <v>36</v>
      </c>
      <c r="M104" s="1">
        <f>VLOOKUP(Employees!A104,Performance!A103:E603,3,0)</f>
        <v>5</v>
      </c>
    </row>
    <row r="105" spans="1:13" x14ac:dyDescent="0.3">
      <c r="A105" s="5" t="s">
        <v>358</v>
      </c>
      <c r="B105" s="5" t="s">
        <v>30</v>
      </c>
      <c r="C105" s="5" t="s">
        <v>90</v>
      </c>
      <c r="D105" s="5" t="s">
        <v>15</v>
      </c>
      <c r="E105" s="5">
        <v>32</v>
      </c>
      <c r="F105" s="5" t="s">
        <v>16</v>
      </c>
      <c r="G105" s="5" t="s">
        <v>26</v>
      </c>
      <c r="H105" s="5" t="s">
        <v>359</v>
      </c>
      <c r="I105" s="5">
        <v>64572</v>
      </c>
      <c r="J105" s="5" t="s">
        <v>80</v>
      </c>
      <c r="K105" s="5" t="s">
        <v>360</v>
      </c>
      <c r="L105" s="5" t="s">
        <v>21</v>
      </c>
      <c r="M105" s="1">
        <f>VLOOKUP(Employees!A105,Performance!A104:E604,3,0)</f>
        <v>3</v>
      </c>
    </row>
    <row r="106" spans="1:13" x14ac:dyDescent="0.3">
      <c r="A106" s="4" t="s">
        <v>361</v>
      </c>
      <c r="B106" s="4" t="s">
        <v>94</v>
      </c>
      <c r="C106" s="4" t="s">
        <v>14</v>
      </c>
      <c r="D106" s="4" t="s">
        <v>24</v>
      </c>
      <c r="E106" s="4">
        <v>56</v>
      </c>
      <c r="F106" s="4" t="s">
        <v>16</v>
      </c>
      <c r="G106" s="4" t="s">
        <v>40</v>
      </c>
      <c r="H106" s="4" t="s">
        <v>362</v>
      </c>
      <c r="I106" s="4">
        <v>74825</v>
      </c>
      <c r="J106" s="4" t="s">
        <v>80</v>
      </c>
      <c r="K106" s="4" t="s">
        <v>363</v>
      </c>
      <c r="L106" s="4" t="s">
        <v>21</v>
      </c>
      <c r="M106" s="1">
        <f>VLOOKUP(Employees!A106,Performance!A105:E605,3,0)</f>
        <v>3</v>
      </c>
    </row>
    <row r="107" spans="1:13" x14ac:dyDescent="0.3">
      <c r="A107" s="5" t="s">
        <v>364</v>
      </c>
      <c r="B107" s="5" t="s">
        <v>143</v>
      </c>
      <c r="C107" s="5" t="s">
        <v>45</v>
      </c>
      <c r="D107" s="5" t="s">
        <v>24</v>
      </c>
      <c r="E107" s="5">
        <v>27</v>
      </c>
      <c r="F107" s="5" t="s">
        <v>50</v>
      </c>
      <c r="G107" s="5" t="s">
        <v>17</v>
      </c>
      <c r="H107" s="5" t="s">
        <v>365</v>
      </c>
      <c r="I107" s="5">
        <v>52495</v>
      </c>
      <c r="J107" s="5" t="s">
        <v>65</v>
      </c>
      <c r="K107" s="5" t="s">
        <v>366</v>
      </c>
      <c r="L107" s="5" t="s">
        <v>21</v>
      </c>
      <c r="M107" s="1">
        <f>VLOOKUP(Employees!A107,Performance!A106:E606,3,0)</f>
        <v>5</v>
      </c>
    </row>
    <row r="108" spans="1:13" x14ac:dyDescent="0.3">
      <c r="A108" s="4" t="s">
        <v>367</v>
      </c>
      <c r="B108" s="4" t="s">
        <v>143</v>
      </c>
      <c r="C108" s="4" t="s">
        <v>63</v>
      </c>
      <c r="D108" s="4" t="s">
        <v>24</v>
      </c>
      <c r="E108" s="4">
        <v>27</v>
      </c>
      <c r="F108" s="4" t="s">
        <v>31</v>
      </c>
      <c r="G108" s="4" t="s">
        <v>17</v>
      </c>
      <c r="H108" s="4" t="s">
        <v>368</v>
      </c>
      <c r="I108" s="4">
        <v>90958</v>
      </c>
      <c r="J108" s="4" t="s">
        <v>19</v>
      </c>
      <c r="K108" s="4" t="s">
        <v>369</v>
      </c>
      <c r="L108" s="4" t="s">
        <v>36</v>
      </c>
      <c r="M108" s="1">
        <f>VLOOKUP(Employees!A108,Performance!A107:E607,3,0)</f>
        <v>1</v>
      </c>
    </row>
    <row r="109" spans="1:13" x14ac:dyDescent="0.3">
      <c r="A109" s="5" t="s">
        <v>370</v>
      </c>
      <c r="B109" s="5" t="s">
        <v>143</v>
      </c>
      <c r="C109" s="5" t="s">
        <v>83</v>
      </c>
      <c r="D109" s="5" t="s">
        <v>15</v>
      </c>
      <c r="E109" s="5">
        <v>58</v>
      </c>
      <c r="F109" s="5" t="s">
        <v>39</v>
      </c>
      <c r="G109" s="5" t="s">
        <v>40</v>
      </c>
      <c r="H109" s="5" t="s">
        <v>371</v>
      </c>
      <c r="I109" s="5">
        <v>51096</v>
      </c>
      <c r="J109" s="5" t="s">
        <v>19</v>
      </c>
      <c r="K109" s="5" t="s">
        <v>372</v>
      </c>
      <c r="L109" s="5" t="s">
        <v>36</v>
      </c>
      <c r="M109" s="1">
        <f>VLOOKUP(Employees!A109,Performance!A108:E608,3,0)</f>
        <v>1</v>
      </c>
    </row>
    <row r="110" spans="1:13" x14ac:dyDescent="0.3">
      <c r="A110" s="4" t="s">
        <v>373</v>
      </c>
      <c r="B110" s="4" t="s">
        <v>58</v>
      </c>
      <c r="C110" s="4" t="s">
        <v>95</v>
      </c>
      <c r="D110" s="4" t="s">
        <v>15</v>
      </c>
      <c r="E110" s="4">
        <v>58</v>
      </c>
      <c r="F110" s="4" t="s">
        <v>50</v>
      </c>
      <c r="G110" s="4" t="s">
        <v>108</v>
      </c>
      <c r="H110" s="4" t="s">
        <v>374</v>
      </c>
      <c r="I110" s="4">
        <v>90458</v>
      </c>
      <c r="J110" s="4" t="s">
        <v>19</v>
      </c>
      <c r="K110" s="4" t="s">
        <v>375</v>
      </c>
      <c r="L110" s="4" t="s">
        <v>21</v>
      </c>
      <c r="M110" s="1">
        <f>VLOOKUP(Employees!A110,Performance!A109:E609,3,0)</f>
        <v>3</v>
      </c>
    </row>
    <row r="111" spans="1:13" x14ac:dyDescent="0.3">
      <c r="A111" s="5" t="s">
        <v>376</v>
      </c>
      <c r="B111" s="5" t="s">
        <v>143</v>
      </c>
      <c r="C111" s="5" t="s">
        <v>130</v>
      </c>
      <c r="D111" s="5" t="s">
        <v>24</v>
      </c>
      <c r="E111" s="5">
        <v>39</v>
      </c>
      <c r="F111" s="5" t="s">
        <v>31</v>
      </c>
      <c r="G111" s="5" t="s">
        <v>17</v>
      </c>
      <c r="H111" s="5" t="s">
        <v>377</v>
      </c>
      <c r="I111" s="5">
        <v>67338</v>
      </c>
      <c r="J111" s="5" t="s">
        <v>34</v>
      </c>
      <c r="K111" s="5" t="s">
        <v>378</v>
      </c>
      <c r="L111" s="5" t="s">
        <v>36</v>
      </c>
      <c r="M111" s="1">
        <f>VLOOKUP(Employees!A111,Performance!A110:E610,3,0)</f>
        <v>4</v>
      </c>
    </row>
    <row r="112" spans="1:13" x14ac:dyDescent="0.3">
      <c r="A112" s="4" t="s">
        <v>379</v>
      </c>
      <c r="B112" s="4" t="s">
        <v>13</v>
      </c>
      <c r="C112" s="4" t="s">
        <v>14</v>
      </c>
      <c r="D112" s="4" t="s">
        <v>15</v>
      </c>
      <c r="E112" s="4">
        <v>40</v>
      </c>
      <c r="F112" s="4" t="s">
        <v>25</v>
      </c>
      <c r="G112" s="4" t="s">
        <v>40</v>
      </c>
      <c r="H112" s="4" t="s">
        <v>380</v>
      </c>
      <c r="I112" s="4">
        <v>106100</v>
      </c>
      <c r="J112" s="4" t="s">
        <v>34</v>
      </c>
      <c r="K112" s="4" t="s">
        <v>381</v>
      </c>
      <c r="L112" s="4" t="s">
        <v>36</v>
      </c>
      <c r="M112" s="1">
        <f>VLOOKUP(Employees!A112,Performance!A111:E611,3,0)</f>
        <v>5</v>
      </c>
    </row>
    <row r="113" spans="1:13" x14ac:dyDescent="0.3">
      <c r="A113" s="5" t="s">
        <v>382</v>
      </c>
      <c r="B113" s="5" t="s">
        <v>13</v>
      </c>
      <c r="C113" s="5" t="s">
        <v>78</v>
      </c>
      <c r="D113" s="5" t="s">
        <v>24</v>
      </c>
      <c r="E113" s="5">
        <v>45</v>
      </c>
      <c r="F113" s="5" t="s">
        <v>16</v>
      </c>
      <c r="G113" s="5" t="s">
        <v>17</v>
      </c>
      <c r="H113" s="5" t="s">
        <v>383</v>
      </c>
      <c r="I113" s="5">
        <v>62840</v>
      </c>
      <c r="J113" s="5" t="s">
        <v>60</v>
      </c>
      <c r="K113" s="5" t="s">
        <v>384</v>
      </c>
      <c r="L113" s="5" t="s">
        <v>36</v>
      </c>
      <c r="M113" s="1">
        <f>VLOOKUP(Employees!A113,Performance!A112:E612,3,0)</f>
        <v>2</v>
      </c>
    </row>
    <row r="114" spans="1:13" x14ac:dyDescent="0.3">
      <c r="A114" s="4" t="s">
        <v>385</v>
      </c>
      <c r="B114" s="4" t="s">
        <v>71</v>
      </c>
      <c r="C114" s="4" t="s">
        <v>130</v>
      </c>
      <c r="D114" s="4" t="s">
        <v>24</v>
      </c>
      <c r="E114" s="4">
        <v>48</v>
      </c>
      <c r="F114" s="4" t="s">
        <v>16</v>
      </c>
      <c r="G114" s="4" t="s">
        <v>32</v>
      </c>
      <c r="H114" s="4" t="s">
        <v>386</v>
      </c>
      <c r="I114" s="4">
        <v>69569</v>
      </c>
      <c r="J114" s="4" t="s">
        <v>34</v>
      </c>
      <c r="K114" s="4" t="s">
        <v>387</v>
      </c>
      <c r="L114" s="4" t="s">
        <v>36</v>
      </c>
      <c r="M114" s="1">
        <f>VLOOKUP(Employees!A114,Performance!A113:E613,3,0)</f>
        <v>5</v>
      </c>
    </row>
    <row r="115" spans="1:13" x14ac:dyDescent="0.3">
      <c r="A115" s="5" t="s">
        <v>388</v>
      </c>
      <c r="B115" s="5" t="s">
        <v>38</v>
      </c>
      <c r="C115" s="5" t="s">
        <v>95</v>
      </c>
      <c r="D115" s="5" t="s">
        <v>15</v>
      </c>
      <c r="E115" s="5">
        <v>23</v>
      </c>
      <c r="F115" s="5" t="s">
        <v>31</v>
      </c>
      <c r="G115" s="5" t="s">
        <v>17</v>
      </c>
      <c r="H115" s="5" t="s">
        <v>389</v>
      </c>
      <c r="I115" s="5">
        <v>109099</v>
      </c>
      <c r="J115" s="5" t="s">
        <v>80</v>
      </c>
      <c r="K115" s="5" t="s">
        <v>390</v>
      </c>
      <c r="L115" s="5" t="s">
        <v>21</v>
      </c>
      <c r="M115" s="1">
        <f>VLOOKUP(Employees!A115,Performance!A114:E614,3,0)</f>
        <v>3</v>
      </c>
    </row>
    <row r="116" spans="1:13" x14ac:dyDescent="0.3">
      <c r="A116" s="4" t="s">
        <v>391</v>
      </c>
      <c r="B116" s="4" t="s">
        <v>54</v>
      </c>
      <c r="C116" s="4" t="s">
        <v>23</v>
      </c>
      <c r="D116" s="4" t="s">
        <v>15</v>
      </c>
      <c r="E116" s="4">
        <v>30</v>
      </c>
      <c r="F116" s="4" t="s">
        <v>25</v>
      </c>
      <c r="G116" s="4" t="s">
        <v>40</v>
      </c>
      <c r="H116" s="4" t="s">
        <v>392</v>
      </c>
      <c r="I116" s="4">
        <v>74368</v>
      </c>
      <c r="J116" s="4" t="s">
        <v>60</v>
      </c>
      <c r="K116" s="4" t="s">
        <v>393</v>
      </c>
      <c r="L116" s="4" t="s">
        <v>36</v>
      </c>
      <c r="M116" s="1">
        <f>VLOOKUP(Employees!A116,Performance!A115:E615,3,0)</f>
        <v>1</v>
      </c>
    </row>
    <row r="117" spans="1:13" x14ac:dyDescent="0.3">
      <c r="A117" s="5" t="s">
        <v>394</v>
      </c>
      <c r="B117" s="5" t="s">
        <v>30</v>
      </c>
      <c r="C117" s="5" t="s">
        <v>130</v>
      </c>
      <c r="D117" s="5" t="s">
        <v>24</v>
      </c>
      <c r="E117" s="5">
        <v>58</v>
      </c>
      <c r="F117" s="5" t="s">
        <v>39</v>
      </c>
      <c r="G117" s="5" t="s">
        <v>32</v>
      </c>
      <c r="H117" s="5" t="s">
        <v>395</v>
      </c>
      <c r="I117" s="5">
        <v>111621</v>
      </c>
      <c r="J117" s="5" t="s">
        <v>60</v>
      </c>
      <c r="K117" s="5" t="s">
        <v>396</v>
      </c>
      <c r="L117" s="5" t="s">
        <v>21</v>
      </c>
      <c r="M117" s="1">
        <f>VLOOKUP(Employees!A117,Performance!A116:E616,3,0)</f>
        <v>5</v>
      </c>
    </row>
    <row r="118" spans="1:13" x14ac:dyDescent="0.3">
      <c r="A118" s="4" t="s">
        <v>397</v>
      </c>
      <c r="B118" s="4" t="s">
        <v>143</v>
      </c>
      <c r="C118" s="4" t="s">
        <v>83</v>
      </c>
      <c r="D118" s="4" t="s">
        <v>15</v>
      </c>
      <c r="E118" s="4">
        <v>32</v>
      </c>
      <c r="F118" s="4" t="s">
        <v>50</v>
      </c>
      <c r="G118" s="4" t="s">
        <v>32</v>
      </c>
      <c r="H118" s="4" t="s">
        <v>338</v>
      </c>
      <c r="I118" s="4">
        <v>82446</v>
      </c>
      <c r="J118" s="4" t="s">
        <v>65</v>
      </c>
      <c r="K118" s="4" t="s">
        <v>398</v>
      </c>
      <c r="L118" s="4" t="s">
        <v>21</v>
      </c>
      <c r="M118" s="1">
        <f>VLOOKUP(Employees!A118,Performance!A117:E617,3,0)</f>
        <v>1</v>
      </c>
    </row>
    <row r="119" spans="1:13" x14ac:dyDescent="0.3">
      <c r="A119" s="5" t="s">
        <v>399</v>
      </c>
      <c r="B119" s="5" t="s">
        <v>143</v>
      </c>
      <c r="C119" s="5" t="s">
        <v>78</v>
      </c>
      <c r="D119" s="5" t="s">
        <v>24</v>
      </c>
      <c r="E119" s="5">
        <v>24</v>
      </c>
      <c r="F119" s="5" t="s">
        <v>31</v>
      </c>
      <c r="G119" s="5" t="s">
        <v>17</v>
      </c>
      <c r="H119" s="5" t="s">
        <v>400</v>
      </c>
      <c r="I119" s="5">
        <v>99200</v>
      </c>
      <c r="J119" s="5" t="s">
        <v>19</v>
      </c>
      <c r="K119" s="5" t="s">
        <v>401</v>
      </c>
      <c r="L119" s="5" t="s">
        <v>36</v>
      </c>
      <c r="M119" s="1">
        <f>VLOOKUP(Employees!A119,Performance!A118:E618,3,0)</f>
        <v>5</v>
      </c>
    </row>
    <row r="120" spans="1:13" x14ac:dyDescent="0.3">
      <c r="A120" s="4" t="s">
        <v>402</v>
      </c>
      <c r="B120" s="4" t="s">
        <v>44</v>
      </c>
      <c r="C120" s="4" t="s">
        <v>95</v>
      </c>
      <c r="D120" s="4" t="s">
        <v>24</v>
      </c>
      <c r="E120" s="4">
        <v>36</v>
      </c>
      <c r="F120" s="4" t="s">
        <v>50</v>
      </c>
      <c r="G120" s="4" t="s">
        <v>26</v>
      </c>
      <c r="H120" s="4" t="s">
        <v>403</v>
      </c>
      <c r="I120" s="4">
        <v>56294</v>
      </c>
      <c r="J120" s="4" t="s">
        <v>60</v>
      </c>
      <c r="K120" s="4" t="s">
        <v>404</v>
      </c>
      <c r="L120" s="4" t="s">
        <v>36</v>
      </c>
      <c r="M120" s="1">
        <f>VLOOKUP(Employees!A120,Performance!A119:E619,3,0)</f>
        <v>2</v>
      </c>
    </row>
    <row r="121" spans="1:13" x14ac:dyDescent="0.3">
      <c r="A121" s="5" t="s">
        <v>405</v>
      </c>
      <c r="B121" s="5" t="s">
        <v>44</v>
      </c>
      <c r="C121" s="5" t="s">
        <v>165</v>
      </c>
      <c r="D121" s="5" t="s">
        <v>15</v>
      </c>
      <c r="E121" s="5">
        <v>32</v>
      </c>
      <c r="F121" s="5" t="s">
        <v>50</v>
      </c>
      <c r="G121" s="5" t="s">
        <v>40</v>
      </c>
      <c r="H121" s="5" t="s">
        <v>406</v>
      </c>
      <c r="I121" s="5">
        <v>112759</v>
      </c>
      <c r="J121" s="5" t="s">
        <v>80</v>
      </c>
      <c r="K121" s="5" t="s">
        <v>407</v>
      </c>
      <c r="L121" s="5" t="s">
        <v>36</v>
      </c>
      <c r="M121" s="1">
        <f>VLOOKUP(Employees!A121,Performance!A120:E620,3,0)</f>
        <v>2</v>
      </c>
    </row>
    <row r="122" spans="1:13" x14ac:dyDescent="0.3">
      <c r="A122" s="4" t="s">
        <v>408</v>
      </c>
      <c r="B122" s="4" t="s">
        <v>94</v>
      </c>
      <c r="C122" s="4" t="s">
        <v>45</v>
      </c>
      <c r="D122" s="4" t="s">
        <v>15</v>
      </c>
      <c r="E122" s="4">
        <v>47</v>
      </c>
      <c r="F122" s="4" t="s">
        <v>25</v>
      </c>
      <c r="G122" s="4" t="s">
        <v>40</v>
      </c>
      <c r="H122" s="4" t="s">
        <v>409</v>
      </c>
      <c r="I122" s="4">
        <v>70479</v>
      </c>
      <c r="J122" s="4" t="s">
        <v>34</v>
      </c>
      <c r="K122" s="4" t="s">
        <v>410</v>
      </c>
      <c r="L122" s="4" t="s">
        <v>21</v>
      </c>
      <c r="M122" s="1">
        <f>VLOOKUP(Employees!A122,Performance!A121:E621,3,0)</f>
        <v>1</v>
      </c>
    </row>
    <row r="123" spans="1:13" x14ac:dyDescent="0.3">
      <c r="A123" s="5" t="s">
        <v>411</v>
      </c>
      <c r="B123" s="5" t="s">
        <v>44</v>
      </c>
      <c r="C123" s="5" t="s">
        <v>63</v>
      </c>
      <c r="D123" s="5" t="s">
        <v>15</v>
      </c>
      <c r="E123" s="5">
        <v>42</v>
      </c>
      <c r="F123" s="5" t="s">
        <v>16</v>
      </c>
      <c r="G123" s="5" t="s">
        <v>26</v>
      </c>
      <c r="H123" s="5" t="s">
        <v>412</v>
      </c>
      <c r="I123" s="5">
        <v>52630</v>
      </c>
      <c r="J123" s="5" t="s">
        <v>60</v>
      </c>
      <c r="K123" s="5" t="s">
        <v>413</v>
      </c>
      <c r="L123" s="5" t="s">
        <v>21</v>
      </c>
      <c r="M123" s="1">
        <f>VLOOKUP(Employees!A123,Performance!A122:E622,3,0)</f>
        <v>5</v>
      </c>
    </row>
    <row r="124" spans="1:13" x14ac:dyDescent="0.3">
      <c r="A124" s="4" t="s">
        <v>414</v>
      </c>
      <c r="B124" s="4" t="s">
        <v>44</v>
      </c>
      <c r="C124" s="4" t="s">
        <v>130</v>
      </c>
      <c r="D124" s="4" t="s">
        <v>24</v>
      </c>
      <c r="E124" s="4">
        <v>27</v>
      </c>
      <c r="F124" s="4" t="s">
        <v>31</v>
      </c>
      <c r="G124" s="4" t="s">
        <v>32</v>
      </c>
      <c r="H124" s="4" t="s">
        <v>415</v>
      </c>
      <c r="I124" s="4">
        <v>78119</v>
      </c>
      <c r="J124" s="4" t="s">
        <v>60</v>
      </c>
      <c r="K124" s="4" t="s">
        <v>416</v>
      </c>
      <c r="L124" s="4" t="s">
        <v>21</v>
      </c>
      <c r="M124" s="1">
        <f>VLOOKUP(Employees!A124,Performance!A123:E623,3,0)</f>
        <v>4</v>
      </c>
    </row>
    <row r="125" spans="1:13" x14ac:dyDescent="0.3">
      <c r="A125" s="5" t="s">
        <v>417</v>
      </c>
      <c r="B125" s="5" t="s">
        <v>44</v>
      </c>
      <c r="C125" s="5" t="s">
        <v>78</v>
      </c>
      <c r="D125" s="5" t="s">
        <v>15</v>
      </c>
      <c r="E125" s="5">
        <v>41</v>
      </c>
      <c r="F125" s="5" t="s">
        <v>25</v>
      </c>
      <c r="G125" s="5" t="s">
        <v>32</v>
      </c>
      <c r="H125" s="5" t="s">
        <v>418</v>
      </c>
      <c r="I125" s="5">
        <v>77100</v>
      </c>
      <c r="J125" s="5" t="s">
        <v>19</v>
      </c>
      <c r="K125" s="5" t="s">
        <v>419</v>
      </c>
      <c r="L125" s="5" t="s">
        <v>21</v>
      </c>
      <c r="M125" s="1">
        <f>VLOOKUP(Employees!A125,Performance!A124:E624,3,0)</f>
        <v>4</v>
      </c>
    </row>
    <row r="126" spans="1:13" x14ac:dyDescent="0.3">
      <c r="A126" s="4" t="s">
        <v>420</v>
      </c>
      <c r="B126" s="4" t="s">
        <v>38</v>
      </c>
      <c r="C126" s="4" t="s">
        <v>63</v>
      </c>
      <c r="D126" s="4" t="s">
        <v>15</v>
      </c>
      <c r="E126" s="4">
        <v>58</v>
      </c>
      <c r="F126" s="4" t="s">
        <v>31</v>
      </c>
      <c r="G126" s="4" t="s">
        <v>40</v>
      </c>
      <c r="H126" s="4" t="s">
        <v>421</v>
      </c>
      <c r="I126" s="4">
        <v>48296</v>
      </c>
      <c r="J126" s="4" t="s">
        <v>65</v>
      </c>
      <c r="K126" s="4" t="s">
        <v>422</v>
      </c>
      <c r="L126" s="4" t="s">
        <v>36</v>
      </c>
      <c r="M126" s="1">
        <f>VLOOKUP(Employees!A126,Performance!A125:E625,3,0)</f>
        <v>4</v>
      </c>
    </row>
    <row r="127" spans="1:13" x14ac:dyDescent="0.3">
      <c r="A127" s="5" t="s">
        <v>423</v>
      </c>
      <c r="B127" s="5" t="s">
        <v>54</v>
      </c>
      <c r="C127" s="5" t="s">
        <v>165</v>
      </c>
      <c r="D127" s="5" t="s">
        <v>24</v>
      </c>
      <c r="E127" s="5">
        <v>46</v>
      </c>
      <c r="F127" s="5" t="s">
        <v>50</v>
      </c>
      <c r="G127" s="5" t="s">
        <v>26</v>
      </c>
      <c r="H127" s="5" t="s">
        <v>424</v>
      </c>
      <c r="I127" s="5">
        <v>69026</v>
      </c>
      <c r="J127" s="5" t="s">
        <v>34</v>
      </c>
      <c r="K127" s="5" t="s">
        <v>425</v>
      </c>
      <c r="L127" s="5" t="s">
        <v>21</v>
      </c>
      <c r="M127" s="1">
        <f>VLOOKUP(Employees!A127,Performance!A126:E626,3,0)</f>
        <v>2</v>
      </c>
    </row>
    <row r="128" spans="1:13" x14ac:dyDescent="0.3">
      <c r="A128" s="4" t="s">
        <v>426</v>
      </c>
      <c r="B128" s="4" t="s">
        <v>58</v>
      </c>
      <c r="C128" s="4" t="s">
        <v>23</v>
      </c>
      <c r="D128" s="4" t="s">
        <v>15</v>
      </c>
      <c r="E128" s="4">
        <v>29</v>
      </c>
      <c r="F128" s="4" t="s">
        <v>25</v>
      </c>
      <c r="G128" s="4" t="s">
        <v>26</v>
      </c>
      <c r="H128" s="4" t="s">
        <v>427</v>
      </c>
      <c r="I128" s="4">
        <v>97080</v>
      </c>
      <c r="J128" s="4" t="s">
        <v>80</v>
      </c>
      <c r="K128" s="4" t="s">
        <v>428</v>
      </c>
      <c r="L128" s="4" t="s">
        <v>21</v>
      </c>
      <c r="M128" s="1">
        <f>VLOOKUP(Employees!A128,Performance!A127:E627,3,0)</f>
        <v>5</v>
      </c>
    </row>
    <row r="129" spans="1:13" x14ac:dyDescent="0.3">
      <c r="A129" s="5" t="s">
        <v>429</v>
      </c>
      <c r="B129" s="5" t="s">
        <v>71</v>
      </c>
      <c r="C129" s="5" t="s">
        <v>130</v>
      </c>
      <c r="D129" s="5" t="s">
        <v>24</v>
      </c>
      <c r="E129" s="5">
        <v>26</v>
      </c>
      <c r="F129" s="5" t="s">
        <v>25</v>
      </c>
      <c r="G129" s="5" t="s">
        <v>32</v>
      </c>
      <c r="H129" s="5" t="s">
        <v>430</v>
      </c>
      <c r="I129" s="5">
        <v>71436</v>
      </c>
      <c r="J129" s="5" t="s">
        <v>34</v>
      </c>
      <c r="K129" s="5" t="s">
        <v>431</v>
      </c>
      <c r="L129" s="5" t="s">
        <v>36</v>
      </c>
      <c r="M129" s="1">
        <f>VLOOKUP(Employees!A129,Performance!A128:E628,3,0)</f>
        <v>1</v>
      </c>
    </row>
    <row r="130" spans="1:13" x14ac:dyDescent="0.3">
      <c r="A130" s="4" t="s">
        <v>432</v>
      </c>
      <c r="B130" s="4" t="s">
        <v>94</v>
      </c>
      <c r="C130" s="4" t="s">
        <v>63</v>
      </c>
      <c r="D130" s="4" t="s">
        <v>24</v>
      </c>
      <c r="E130" s="4">
        <v>44</v>
      </c>
      <c r="F130" s="4" t="s">
        <v>16</v>
      </c>
      <c r="G130" s="4" t="s">
        <v>32</v>
      </c>
      <c r="H130" s="4" t="s">
        <v>433</v>
      </c>
      <c r="I130" s="4">
        <v>87790</v>
      </c>
      <c r="J130" s="4" t="s">
        <v>80</v>
      </c>
      <c r="K130" s="4" t="s">
        <v>434</v>
      </c>
      <c r="L130" s="4" t="s">
        <v>21</v>
      </c>
      <c r="M130" s="1">
        <f>VLOOKUP(Employees!A130,Performance!A129:E629,3,0)</f>
        <v>5</v>
      </c>
    </row>
    <row r="131" spans="1:13" x14ac:dyDescent="0.3">
      <c r="A131" s="5" t="s">
        <v>435</v>
      </c>
      <c r="B131" s="5" t="s">
        <v>54</v>
      </c>
      <c r="C131" s="5" t="s">
        <v>63</v>
      </c>
      <c r="D131" s="5" t="s">
        <v>24</v>
      </c>
      <c r="E131" s="5">
        <v>59</v>
      </c>
      <c r="F131" s="5" t="s">
        <v>16</v>
      </c>
      <c r="G131" s="5" t="s">
        <v>108</v>
      </c>
      <c r="H131" s="5" t="s">
        <v>436</v>
      </c>
      <c r="I131" s="5">
        <v>119530</v>
      </c>
      <c r="J131" s="5" t="s">
        <v>80</v>
      </c>
      <c r="K131" s="5" t="s">
        <v>437</v>
      </c>
      <c r="L131" s="5" t="s">
        <v>21</v>
      </c>
      <c r="M131" s="1">
        <f>VLOOKUP(Employees!A131,Performance!A130:E630,3,0)</f>
        <v>1</v>
      </c>
    </row>
    <row r="132" spans="1:13" x14ac:dyDescent="0.3">
      <c r="A132" s="4" t="s">
        <v>438</v>
      </c>
      <c r="B132" s="4" t="s">
        <v>143</v>
      </c>
      <c r="C132" s="4" t="s">
        <v>14</v>
      </c>
      <c r="D132" s="4" t="s">
        <v>24</v>
      </c>
      <c r="E132" s="4">
        <v>37</v>
      </c>
      <c r="F132" s="4" t="s">
        <v>31</v>
      </c>
      <c r="G132" s="4" t="s">
        <v>108</v>
      </c>
      <c r="H132" s="4" t="s">
        <v>439</v>
      </c>
      <c r="I132" s="4">
        <v>100623</v>
      </c>
      <c r="J132" s="4" t="s">
        <v>34</v>
      </c>
      <c r="K132" s="4" t="s">
        <v>440</v>
      </c>
      <c r="L132" s="4" t="s">
        <v>21</v>
      </c>
      <c r="M132" s="1">
        <f>VLOOKUP(Employees!A132,Performance!A131:E631,3,0)</f>
        <v>5</v>
      </c>
    </row>
    <row r="133" spans="1:13" x14ac:dyDescent="0.3">
      <c r="A133" s="5" t="s">
        <v>441</v>
      </c>
      <c r="B133" s="5" t="s">
        <v>44</v>
      </c>
      <c r="C133" s="5" t="s">
        <v>45</v>
      </c>
      <c r="D133" s="5" t="s">
        <v>24</v>
      </c>
      <c r="E133" s="5">
        <v>60</v>
      </c>
      <c r="F133" s="5" t="s">
        <v>31</v>
      </c>
      <c r="G133" s="5" t="s">
        <v>108</v>
      </c>
      <c r="H133" s="5" t="s">
        <v>442</v>
      </c>
      <c r="I133" s="5">
        <v>40317</v>
      </c>
      <c r="J133" s="5" t="s">
        <v>80</v>
      </c>
      <c r="K133" s="5" t="s">
        <v>443</v>
      </c>
      <c r="L133" s="5" t="s">
        <v>21</v>
      </c>
      <c r="M133" s="1">
        <f>VLOOKUP(Employees!A133,Performance!A132:E632,3,0)</f>
        <v>5</v>
      </c>
    </row>
    <row r="134" spans="1:13" x14ac:dyDescent="0.3">
      <c r="A134" s="4" t="s">
        <v>444</v>
      </c>
      <c r="B134" s="4" t="s">
        <v>71</v>
      </c>
      <c r="C134" s="4" t="s">
        <v>165</v>
      </c>
      <c r="D134" s="4" t="s">
        <v>24</v>
      </c>
      <c r="E134" s="4">
        <v>51</v>
      </c>
      <c r="F134" s="4" t="s">
        <v>25</v>
      </c>
      <c r="G134" s="4" t="s">
        <v>108</v>
      </c>
      <c r="H134" s="4" t="s">
        <v>445</v>
      </c>
      <c r="I134" s="4">
        <v>87915</v>
      </c>
      <c r="J134" s="4" t="s">
        <v>60</v>
      </c>
      <c r="K134" s="4" t="s">
        <v>446</v>
      </c>
      <c r="L134" s="4" t="s">
        <v>21</v>
      </c>
      <c r="M134" s="1">
        <f>VLOOKUP(Employees!A134,Performance!A133:E633,3,0)</f>
        <v>4</v>
      </c>
    </row>
    <row r="135" spans="1:13" x14ac:dyDescent="0.3">
      <c r="A135" s="5" t="s">
        <v>447</v>
      </c>
      <c r="B135" s="5" t="s">
        <v>143</v>
      </c>
      <c r="C135" s="5" t="s">
        <v>14</v>
      </c>
      <c r="D135" s="5" t="s">
        <v>15</v>
      </c>
      <c r="E135" s="5">
        <v>49</v>
      </c>
      <c r="F135" s="5" t="s">
        <v>31</v>
      </c>
      <c r="G135" s="5" t="s">
        <v>108</v>
      </c>
      <c r="H135" s="5" t="s">
        <v>448</v>
      </c>
      <c r="I135" s="5">
        <v>102279</v>
      </c>
      <c r="J135" s="5" t="s">
        <v>60</v>
      </c>
      <c r="K135" s="5" t="s">
        <v>449</v>
      </c>
      <c r="L135" s="5" t="s">
        <v>36</v>
      </c>
      <c r="M135" s="1">
        <f>VLOOKUP(Employees!A135,Performance!A134:E634,3,0)</f>
        <v>2</v>
      </c>
    </row>
    <row r="136" spans="1:13" x14ac:dyDescent="0.3">
      <c r="A136" s="4" t="s">
        <v>450</v>
      </c>
      <c r="B136" s="4" t="s">
        <v>71</v>
      </c>
      <c r="C136" s="4" t="s">
        <v>95</v>
      </c>
      <c r="D136" s="4" t="s">
        <v>24</v>
      </c>
      <c r="E136" s="4">
        <v>36</v>
      </c>
      <c r="F136" s="4" t="s">
        <v>31</v>
      </c>
      <c r="G136" s="4" t="s">
        <v>40</v>
      </c>
      <c r="H136" s="4" t="s">
        <v>451</v>
      </c>
      <c r="I136" s="4">
        <v>72887</v>
      </c>
      <c r="J136" s="4" t="s">
        <v>34</v>
      </c>
      <c r="K136" s="4" t="s">
        <v>452</v>
      </c>
      <c r="L136" s="4" t="s">
        <v>36</v>
      </c>
      <c r="M136" s="1">
        <f>VLOOKUP(Employees!A136,Performance!A135:E635,3,0)</f>
        <v>1</v>
      </c>
    </row>
    <row r="137" spans="1:13" x14ac:dyDescent="0.3">
      <c r="A137" s="5" t="s">
        <v>453</v>
      </c>
      <c r="B137" s="5" t="s">
        <v>38</v>
      </c>
      <c r="C137" s="5" t="s">
        <v>14</v>
      </c>
      <c r="D137" s="5" t="s">
        <v>15</v>
      </c>
      <c r="E137" s="5">
        <v>43</v>
      </c>
      <c r="F137" s="5" t="s">
        <v>16</v>
      </c>
      <c r="G137" s="5" t="s">
        <v>26</v>
      </c>
      <c r="H137" s="5" t="s">
        <v>454</v>
      </c>
      <c r="I137" s="5">
        <v>92793</v>
      </c>
      <c r="J137" s="5" t="s">
        <v>60</v>
      </c>
      <c r="K137" s="5" t="s">
        <v>455</v>
      </c>
      <c r="L137" s="5" t="s">
        <v>21</v>
      </c>
      <c r="M137" s="1">
        <f>VLOOKUP(Employees!A137,Performance!A136:E636,3,0)</f>
        <v>2</v>
      </c>
    </row>
    <row r="138" spans="1:13" x14ac:dyDescent="0.3">
      <c r="A138" s="4" t="s">
        <v>456</v>
      </c>
      <c r="B138" s="4" t="s">
        <v>94</v>
      </c>
      <c r="C138" s="4" t="s">
        <v>78</v>
      </c>
      <c r="D138" s="4" t="s">
        <v>24</v>
      </c>
      <c r="E138" s="4">
        <v>48</v>
      </c>
      <c r="F138" s="4" t="s">
        <v>39</v>
      </c>
      <c r="G138" s="4" t="s">
        <v>26</v>
      </c>
      <c r="H138" s="4" t="s">
        <v>457</v>
      </c>
      <c r="I138" s="4">
        <v>114316</v>
      </c>
      <c r="J138" s="4" t="s">
        <v>65</v>
      </c>
      <c r="K138" s="4" t="s">
        <v>458</v>
      </c>
      <c r="L138" s="4" t="s">
        <v>21</v>
      </c>
      <c r="M138" s="1">
        <f>VLOOKUP(Employees!A138,Performance!A137:E637,3,0)</f>
        <v>3</v>
      </c>
    </row>
    <row r="139" spans="1:13" x14ac:dyDescent="0.3">
      <c r="A139" s="5" t="s">
        <v>459</v>
      </c>
      <c r="B139" s="5" t="s">
        <v>38</v>
      </c>
      <c r="C139" s="5" t="s">
        <v>45</v>
      </c>
      <c r="D139" s="5" t="s">
        <v>24</v>
      </c>
      <c r="E139" s="5">
        <v>59</v>
      </c>
      <c r="F139" s="5" t="s">
        <v>39</v>
      </c>
      <c r="G139" s="5" t="s">
        <v>17</v>
      </c>
      <c r="H139" s="5" t="s">
        <v>460</v>
      </c>
      <c r="I139" s="5">
        <v>60835</v>
      </c>
      <c r="J139" s="5" t="s">
        <v>60</v>
      </c>
      <c r="K139" s="5" t="s">
        <v>461</v>
      </c>
      <c r="L139" s="5" t="s">
        <v>21</v>
      </c>
      <c r="M139" s="1">
        <f>VLOOKUP(Employees!A139,Performance!A138:E638,3,0)</f>
        <v>1</v>
      </c>
    </row>
    <row r="140" spans="1:13" x14ac:dyDescent="0.3">
      <c r="A140" s="4" t="s">
        <v>462</v>
      </c>
      <c r="B140" s="4" t="s">
        <v>49</v>
      </c>
      <c r="C140" s="4" t="s">
        <v>165</v>
      </c>
      <c r="D140" s="4" t="s">
        <v>24</v>
      </c>
      <c r="E140" s="4">
        <v>31</v>
      </c>
      <c r="F140" s="4" t="s">
        <v>31</v>
      </c>
      <c r="G140" s="4" t="s">
        <v>26</v>
      </c>
      <c r="H140" s="4" t="s">
        <v>463</v>
      </c>
      <c r="I140" s="4">
        <v>105179</v>
      </c>
      <c r="J140" s="4" t="s">
        <v>19</v>
      </c>
      <c r="K140" s="4" t="s">
        <v>464</v>
      </c>
      <c r="L140" s="4" t="s">
        <v>21</v>
      </c>
      <c r="M140" s="1">
        <f>VLOOKUP(Employees!A140,Performance!A139:E639,3,0)</f>
        <v>5</v>
      </c>
    </row>
    <row r="141" spans="1:13" x14ac:dyDescent="0.3">
      <c r="A141" s="5" t="s">
        <v>465</v>
      </c>
      <c r="B141" s="5" t="s">
        <v>94</v>
      </c>
      <c r="C141" s="5" t="s">
        <v>165</v>
      </c>
      <c r="D141" s="5" t="s">
        <v>15</v>
      </c>
      <c r="E141" s="5">
        <v>48</v>
      </c>
      <c r="F141" s="5" t="s">
        <v>31</v>
      </c>
      <c r="G141" s="5" t="s">
        <v>40</v>
      </c>
      <c r="H141" s="5" t="s">
        <v>466</v>
      </c>
      <c r="I141" s="5">
        <v>109704</v>
      </c>
      <c r="J141" s="5" t="s">
        <v>80</v>
      </c>
      <c r="K141" s="5" t="s">
        <v>467</v>
      </c>
      <c r="L141" s="5" t="s">
        <v>36</v>
      </c>
      <c r="M141" s="1">
        <f>VLOOKUP(Employees!A141,Performance!A140:E640,3,0)</f>
        <v>2</v>
      </c>
    </row>
    <row r="142" spans="1:13" x14ac:dyDescent="0.3">
      <c r="A142" s="4" t="s">
        <v>468</v>
      </c>
      <c r="B142" s="4" t="s">
        <v>54</v>
      </c>
      <c r="C142" s="4" t="s">
        <v>130</v>
      </c>
      <c r="D142" s="4" t="s">
        <v>15</v>
      </c>
      <c r="E142" s="4">
        <v>32</v>
      </c>
      <c r="F142" s="4" t="s">
        <v>39</v>
      </c>
      <c r="G142" s="4" t="s">
        <v>32</v>
      </c>
      <c r="H142" s="4" t="s">
        <v>469</v>
      </c>
      <c r="I142" s="4">
        <v>68125</v>
      </c>
      <c r="J142" s="4" t="s">
        <v>34</v>
      </c>
      <c r="K142" s="4" t="s">
        <v>470</v>
      </c>
      <c r="L142" s="4" t="s">
        <v>21</v>
      </c>
      <c r="M142" s="1">
        <f>VLOOKUP(Employees!A142,Performance!A141:E641,3,0)</f>
        <v>3</v>
      </c>
    </row>
    <row r="143" spans="1:13" x14ac:dyDescent="0.3">
      <c r="A143" s="5" t="s">
        <v>471</v>
      </c>
      <c r="B143" s="5" t="s">
        <v>38</v>
      </c>
      <c r="C143" s="5" t="s">
        <v>78</v>
      </c>
      <c r="D143" s="5" t="s">
        <v>15</v>
      </c>
      <c r="E143" s="5">
        <v>47</v>
      </c>
      <c r="F143" s="5" t="s">
        <v>31</v>
      </c>
      <c r="G143" s="5" t="s">
        <v>17</v>
      </c>
      <c r="H143" s="5" t="s">
        <v>472</v>
      </c>
      <c r="I143" s="5">
        <v>96812</v>
      </c>
      <c r="J143" s="5" t="s">
        <v>80</v>
      </c>
      <c r="K143" s="5" t="s">
        <v>473</v>
      </c>
      <c r="L143" s="5" t="s">
        <v>21</v>
      </c>
      <c r="M143" s="1">
        <f>VLOOKUP(Employees!A143,Performance!A142:E642,3,0)</f>
        <v>1</v>
      </c>
    </row>
    <row r="144" spans="1:13" x14ac:dyDescent="0.3">
      <c r="A144" s="4" t="s">
        <v>474</v>
      </c>
      <c r="B144" s="4" t="s">
        <v>58</v>
      </c>
      <c r="C144" s="4" t="s">
        <v>165</v>
      </c>
      <c r="D144" s="4" t="s">
        <v>15</v>
      </c>
      <c r="E144" s="4">
        <v>47</v>
      </c>
      <c r="F144" s="4" t="s">
        <v>50</v>
      </c>
      <c r="G144" s="4" t="s">
        <v>26</v>
      </c>
      <c r="H144" s="4" t="s">
        <v>475</v>
      </c>
      <c r="I144" s="4">
        <v>116650</v>
      </c>
      <c r="J144" s="4" t="s">
        <v>65</v>
      </c>
      <c r="K144" s="4" t="s">
        <v>476</v>
      </c>
      <c r="L144" s="4" t="s">
        <v>36</v>
      </c>
      <c r="M144" s="1">
        <f>VLOOKUP(Employees!A144,Performance!A143:E643,3,0)</f>
        <v>3</v>
      </c>
    </row>
    <row r="145" spans="1:13" x14ac:dyDescent="0.3">
      <c r="A145" s="5" t="s">
        <v>477</v>
      </c>
      <c r="B145" s="5" t="s">
        <v>71</v>
      </c>
      <c r="C145" s="5" t="s">
        <v>83</v>
      </c>
      <c r="D145" s="5" t="s">
        <v>24</v>
      </c>
      <c r="E145" s="5">
        <v>28</v>
      </c>
      <c r="F145" s="5" t="s">
        <v>39</v>
      </c>
      <c r="G145" s="5" t="s">
        <v>26</v>
      </c>
      <c r="H145" s="5" t="s">
        <v>478</v>
      </c>
      <c r="I145" s="5">
        <v>86592</v>
      </c>
      <c r="J145" s="5" t="s">
        <v>80</v>
      </c>
      <c r="K145" s="5" t="s">
        <v>479</v>
      </c>
      <c r="L145" s="5" t="s">
        <v>36</v>
      </c>
      <c r="M145" s="1">
        <f>VLOOKUP(Employees!A145,Performance!A144:E644,3,0)</f>
        <v>1</v>
      </c>
    </row>
    <row r="146" spans="1:13" x14ac:dyDescent="0.3">
      <c r="A146" s="4" t="s">
        <v>480</v>
      </c>
      <c r="B146" s="4" t="s">
        <v>44</v>
      </c>
      <c r="C146" s="4" t="s">
        <v>23</v>
      </c>
      <c r="D146" s="4" t="s">
        <v>24</v>
      </c>
      <c r="E146" s="4">
        <v>57</v>
      </c>
      <c r="F146" s="4" t="s">
        <v>50</v>
      </c>
      <c r="G146" s="4" t="s">
        <v>26</v>
      </c>
      <c r="H146" s="4" t="s">
        <v>481</v>
      </c>
      <c r="I146" s="4">
        <v>78320</v>
      </c>
      <c r="J146" s="4" t="s">
        <v>34</v>
      </c>
      <c r="K146" s="4" t="s">
        <v>482</v>
      </c>
      <c r="L146" s="4" t="s">
        <v>21</v>
      </c>
      <c r="M146" s="1">
        <f>VLOOKUP(Employees!A146,Performance!A145:E645,3,0)</f>
        <v>1</v>
      </c>
    </row>
    <row r="147" spans="1:13" x14ac:dyDescent="0.3">
      <c r="A147" s="5" t="s">
        <v>483</v>
      </c>
      <c r="B147" s="5" t="s">
        <v>30</v>
      </c>
      <c r="C147" s="5" t="s">
        <v>45</v>
      </c>
      <c r="D147" s="5" t="s">
        <v>24</v>
      </c>
      <c r="E147" s="5">
        <v>40</v>
      </c>
      <c r="F147" s="5" t="s">
        <v>16</v>
      </c>
      <c r="G147" s="5" t="s">
        <v>17</v>
      </c>
      <c r="H147" s="5" t="s">
        <v>484</v>
      </c>
      <c r="I147" s="5">
        <v>50627</v>
      </c>
      <c r="J147" s="5" t="s">
        <v>80</v>
      </c>
      <c r="K147" s="5" t="s">
        <v>485</v>
      </c>
      <c r="L147" s="5" t="s">
        <v>36</v>
      </c>
      <c r="M147" s="1">
        <f>VLOOKUP(Employees!A147,Performance!A146:E646,3,0)</f>
        <v>3</v>
      </c>
    </row>
    <row r="148" spans="1:13" x14ac:dyDescent="0.3">
      <c r="A148" s="4" t="s">
        <v>486</v>
      </c>
      <c r="B148" s="4" t="s">
        <v>38</v>
      </c>
      <c r="C148" s="4" t="s">
        <v>95</v>
      </c>
      <c r="D148" s="4" t="s">
        <v>24</v>
      </c>
      <c r="E148" s="4">
        <v>47</v>
      </c>
      <c r="F148" s="4" t="s">
        <v>25</v>
      </c>
      <c r="G148" s="4" t="s">
        <v>26</v>
      </c>
      <c r="H148" s="4" t="s">
        <v>487</v>
      </c>
      <c r="I148" s="4">
        <v>84212</v>
      </c>
      <c r="J148" s="4" t="s">
        <v>34</v>
      </c>
      <c r="K148" s="4" t="s">
        <v>488</v>
      </c>
      <c r="L148" s="4" t="s">
        <v>36</v>
      </c>
      <c r="M148" s="1">
        <f>VLOOKUP(Employees!A148,Performance!A147:E647,3,0)</f>
        <v>5</v>
      </c>
    </row>
    <row r="149" spans="1:13" x14ac:dyDescent="0.3">
      <c r="A149" s="5" t="s">
        <v>489</v>
      </c>
      <c r="B149" s="5" t="s">
        <v>54</v>
      </c>
      <c r="C149" s="5" t="s">
        <v>63</v>
      </c>
      <c r="D149" s="5" t="s">
        <v>15</v>
      </c>
      <c r="E149" s="5">
        <v>53</v>
      </c>
      <c r="F149" s="5" t="s">
        <v>50</v>
      </c>
      <c r="G149" s="5" t="s">
        <v>32</v>
      </c>
      <c r="H149" s="5" t="s">
        <v>490</v>
      </c>
      <c r="I149" s="5">
        <v>98718</v>
      </c>
      <c r="J149" s="5" t="s">
        <v>34</v>
      </c>
      <c r="K149" s="5" t="s">
        <v>491</v>
      </c>
      <c r="L149" s="5" t="s">
        <v>21</v>
      </c>
      <c r="M149" s="1">
        <f>VLOOKUP(Employees!A149,Performance!A148:E648,3,0)</f>
        <v>5</v>
      </c>
    </row>
    <row r="150" spans="1:13" x14ac:dyDescent="0.3">
      <c r="A150" s="4" t="s">
        <v>492</v>
      </c>
      <c r="B150" s="4" t="s">
        <v>143</v>
      </c>
      <c r="C150" s="4" t="s">
        <v>23</v>
      </c>
      <c r="D150" s="4" t="s">
        <v>24</v>
      </c>
      <c r="E150" s="4">
        <v>22</v>
      </c>
      <c r="F150" s="4" t="s">
        <v>16</v>
      </c>
      <c r="G150" s="4" t="s">
        <v>26</v>
      </c>
      <c r="H150" s="4" t="s">
        <v>193</v>
      </c>
      <c r="I150" s="4">
        <v>35307</v>
      </c>
      <c r="J150" s="4" t="s">
        <v>80</v>
      </c>
      <c r="K150" s="4" t="s">
        <v>493</v>
      </c>
      <c r="L150" s="4" t="s">
        <v>36</v>
      </c>
      <c r="M150" s="1">
        <f>VLOOKUP(Employees!A150,Performance!A149:E649,3,0)</f>
        <v>4</v>
      </c>
    </row>
    <row r="151" spans="1:13" x14ac:dyDescent="0.3">
      <c r="A151" s="5" t="s">
        <v>494</v>
      </c>
      <c r="B151" s="5" t="s">
        <v>30</v>
      </c>
      <c r="C151" s="5" t="s">
        <v>130</v>
      </c>
      <c r="D151" s="5" t="s">
        <v>15</v>
      </c>
      <c r="E151" s="5">
        <v>54</v>
      </c>
      <c r="F151" s="5" t="s">
        <v>25</v>
      </c>
      <c r="G151" s="5" t="s">
        <v>108</v>
      </c>
      <c r="H151" s="5" t="s">
        <v>495</v>
      </c>
      <c r="I151" s="5">
        <v>92735</v>
      </c>
      <c r="J151" s="5" t="s">
        <v>60</v>
      </c>
      <c r="K151" s="5" t="s">
        <v>496</v>
      </c>
      <c r="L151" s="5" t="s">
        <v>36</v>
      </c>
      <c r="M151" s="1">
        <f>VLOOKUP(Employees!A151,Performance!A150:E650,3,0)</f>
        <v>1</v>
      </c>
    </row>
    <row r="152" spans="1:13" x14ac:dyDescent="0.3">
      <c r="A152" s="4" t="s">
        <v>497</v>
      </c>
      <c r="B152" s="4" t="s">
        <v>94</v>
      </c>
      <c r="C152" s="4" t="s">
        <v>14</v>
      </c>
      <c r="D152" s="4" t="s">
        <v>24</v>
      </c>
      <c r="E152" s="4">
        <v>45</v>
      </c>
      <c r="F152" s="4" t="s">
        <v>50</v>
      </c>
      <c r="G152" s="4" t="s">
        <v>17</v>
      </c>
      <c r="H152" s="4" t="s">
        <v>498</v>
      </c>
      <c r="I152" s="4">
        <v>55679</v>
      </c>
      <c r="J152" s="4" t="s">
        <v>60</v>
      </c>
      <c r="K152" s="4" t="s">
        <v>499</v>
      </c>
      <c r="L152" s="4" t="s">
        <v>36</v>
      </c>
      <c r="M152" s="1">
        <f>VLOOKUP(Employees!A152,Performance!A151:E651,3,0)</f>
        <v>2</v>
      </c>
    </row>
    <row r="153" spans="1:13" x14ac:dyDescent="0.3">
      <c r="A153" s="5" t="s">
        <v>500</v>
      </c>
      <c r="B153" s="5" t="s">
        <v>38</v>
      </c>
      <c r="C153" s="5" t="s">
        <v>90</v>
      </c>
      <c r="D153" s="5" t="s">
        <v>15</v>
      </c>
      <c r="E153" s="5">
        <v>25</v>
      </c>
      <c r="F153" s="5" t="s">
        <v>25</v>
      </c>
      <c r="G153" s="5" t="s">
        <v>32</v>
      </c>
      <c r="H153" s="5" t="s">
        <v>501</v>
      </c>
      <c r="I153" s="5">
        <v>94614</v>
      </c>
      <c r="J153" s="5" t="s">
        <v>34</v>
      </c>
      <c r="K153" s="5" t="s">
        <v>502</v>
      </c>
      <c r="L153" s="5" t="s">
        <v>21</v>
      </c>
      <c r="M153" s="1">
        <f>VLOOKUP(Employees!A153,Performance!A152:E652,3,0)</f>
        <v>5</v>
      </c>
    </row>
    <row r="154" spans="1:13" x14ac:dyDescent="0.3">
      <c r="A154" s="4" t="s">
        <v>503</v>
      </c>
      <c r="B154" s="4" t="s">
        <v>30</v>
      </c>
      <c r="C154" s="4" t="s">
        <v>90</v>
      </c>
      <c r="D154" s="4" t="s">
        <v>24</v>
      </c>
      <c r="E154" s="4">
        <v>53</v>
      </c>
      <c r="F154" s="4" t="s">
        <v>31</v>
      </c>
      <c r="G154" s="4" t="s">
        <v>40</v>
      </c>
      <c r="H154" s="4" t="s">
        <v>504</v>
      </c>
      <c r="I154" s="4">
        <v>102516</v>
      </c>
      <c r="J154" s="4" t="s">
        <v>34</v>
      </c>
      <c r="K154" s="4" t="s">
        <v>505</v>
      </c>
      <c r="L154" s="4" t="s">
        <v>21</v>
      </c>
      <c r="M154" s="1">
        <f>VLOOKUP(Employees!A154,Performance!A153:E653,3,0)</f>
        <v>5</v>
      </c>
    </row>
    <row r="155" spans="1:13" x14ac:dyDescent="0.3">
      <c r="A155" s="5" t="s">
        <v>506</v>
      </c>
      <c r="B155" s="5" t="s">
        <v>49</v>
      </c>
      <c r="C155" s="5" t="s">
        <v>90</v>
      </c>
      <c r="D155" s="5" t="s">
        <v>24</v>
      </c>
      <c r="E155" s="5">
        <v>48</v>
      </c>
      <c r="F155" s="5" t="s">
        <v>31</v>
      </c>
      <c r="G155" s="5" t="s">
        <v>17</v>
      </c>
      <c r="H155" s="5" t="s">
        <v>507</v>
      </c>
      <c r="I155" s="5">
        <v>47666</v>
      </c>
      <c r="J155" s="5" t="s">
        <v>80</v>
      </c>
      <c r="K155" s="5" t="s">
        <v>508</v>
      </c>
      <c r="L155" s="5" t="s">
        <v>36</v>
      </c>
      <c r="M155" s="1">
        <f>VLOOKUP(Employees!A155,Performance!A154:E654,3,0)</f>
        <v>2</v>
      </c>
    </row>
    <row r="156" spans="1:13" x14ac:dyDescent="0.3">
      <c r="A156" s="4" t="s">
        <v>509</v>
      </c>
      <c r="B156" s="4" t="s">
        <v>54</v>
      </c>
      <c r="C156" s="4" t="s">
        <v>23</v>
      </c>
      <c r="D156" s="4" t="s">
        <v>15</v>
      </c>
      <c r="E156" s="4">
        <v>27</v>
      </c>
      <c r="F156" s="4" t="s">
        <v>16</v>
      </c>
      <c r="G156" s="4" t="s">
        <v>40</v>
      </c>
      <c r="H156" s="4" t="s">
        <v>510</v>
      </c>
      <c r="I156" s="4">
        <v>72710</v>
      </c>
      <c r="J156" s="4" t="s">
        <v>80</v>
      </c>
      <c r="K156" s="4" t="s">
        <v>511</v>
      </c>
      <c r="L156" s="4" t="s">
        <v>36</v>
      </c>
      <c r="M156" s="1">
        <f>VLOOKUP(Employees!A156,Performance!A155:E655,3,0)</f>
        <v>2</v>
      </c>
    </row>
    <row r="157" spans="1:13" x14ac:dyDescent="0.3">
      <c r="A157" s="5" t="s">
        <v>512</v>
      </c>
      <c r="B157" s="5" t="s">
        <v>71</v>
      </c>
      <c r="C157" s="5" t="s">
        <v>23</v>
      </c>
      <c r="D157" s="5" t="s">
        <v>24</v>
      </c>
      <c r="E157" s="5">
        <v>22</v>
      </c>
      <c r="F157" s="5" t="s">
        <v>25</v>
      </c>
      <c r="G157" s="5" t="s">
        <v>108</v>
      </c>
      <c r="H157" s="5" t="s">
        <v>513</v>
      </c>
      <c r="I157" s="5">
        <v>60944</v>
      </c>
      <c r="J157" s="5" t="s">
        <v>65</v>
      </c>
      <c r="K157" s="5" t="s">
        <v>514</v>
      </c>
      <c r="L157" s="5" t="s">
        <v>36</v>
      </c>
      <c r="M157" s="1">
        <f>VLOOKUP(Employees!A157,Performance!A156:E656,3,0)</f>
        <v>3</v>
      </c>
    </row>
    <row r="158" spans="1:13" x14ac:dyDescent="0.3">
      <c r="A158" s="4" t="s">
        <v>515</v>
      </c>
      <c r="B158" s="4" t="s">
        <v>54</v>
      </c>
      <c r="C158" s="4" t="s">
        <v>78</v>
      </c>
      <c r="D158" s="4" t="s">
        <v>15</v>
      </c>
      <c r="E158" s="4">
        <v>39</v>
      </c>
      <c r="F158" s="4" t="s">
        <v>50</v>
      </c>
      <c r="G158" s="4" t="s">
        <v>32</v>
      </c>
      <c r="H158" s="4" t="s">
        <v>516</v>
      </c>
      <c r="I158" s="4">
        <v>87181</v>
      </c>
      <c r="J158" s="4" t="s">
        <v>60</v>
      </c>
      <c r="K158" s="4" t="s">
        <v>517</v>
      </c>
      <c r="L158" s="4" t="s">
        <v>21</v>
      </c>
      <c r="M158" s="1">
        <f>VLOOKUP(Employees!A158,Performance!A157:E657,3,0)</f>
        <v>5</v>
      </c>
    </row>
    <row r="159" spans="1:13" x14ac:dyDescent="0.3">
      <c r="A159" s="5" t="s">
        <v>518</v>
      </c>
      <c r="B159" s="5" t="s">
        <v>71</v>
      </c>
      <c r="C159" s="5" t="s">
        <v>63</v>
      </c>
      <c r="D159" s="5" t="s">
        <v>15</v>
      </c>
      <c r="E159" s="5">
        <v>42</v>
      </c>
      <c r="F159" s="5" t="s">
        <v>31</v>
      </c>
      <c r="G159" s="5" t="s">
        <v>32</v>
      </c>
      <c r="H159" s="5" t="s">
        <v>519</v>
      </c>
      <c r="I159" s="5">
        <v>65659</v>
      </c>
      <c r="J159" s="5" t="s">
        <v>65</v>
      </c>
      <c r="K159" s="5" t="s">
        <v>520</v>
      </c>
      <c r="L159" s="5" t="s">
        <v>36</v>
      </c>
      <c r="M159" s="1">
        <f>VLOOKUP(Employees!A159,Performance!A158:E658,3,0)</f>
        <v>3</v>
      </c>
    </row>
    <row r="160" spans="1:13" x14ac:dyDescent="0.3">
      <c r="A160" s="4" t="s">
        <v>521</v>
      </c>
      <c r="B160" s="4" t="s">
        <v>49</v>
      </c>
      <c r="C160" s="4" t="s">
        <v>78</v>
      </c>
      <c r="D160" s="4" t="s">
        <v>24</v>
      </c>
      <c r="E160" s="4">
        <v>46</v>
      </c>
      <c r="F160" s="4" t="s">
        <v>50</v>
      </c>
      <c r="G160" s="4" t="s">
        <v>32</v>
      </c>
      <c r="H160" s="4" t="s">
        <v>522</v>
      </c>
      <c r="I160" s="4">
        <v>100538</v>
      </c>
      <c r="J160" s="4" t="s">
        <v>65</v>
      </c>
      <c r="K160" s="4" t="s">
        <v>523</v>
      </c>
      <c r="L160" s="4" t="s">
        <v>21</v>
      </c>
      <c r="M160" s="1">
        <f>VLOOKUP(Employees!A160,Performance!A159:E659,3,0)</f>
        <v>5</v>
      </c>
    </row>
    <row r="161" spans="1:13" x14ac:dyDescent="0.3">
      <c r="A161" s="5" t="s">
        <v>524</v>
      </c>
      <c r="B161" s="5" t="s">
        <v>71</v>
      </c>
      <c r="C161" s="5" t="s">
        <v>165</v>
      </c>
      <c r="D161" s="5" t="s">
        <v>24</v>
      </c>
      <c r="E161" s="5">
        <v>49</v>
      </c>
      <c r="F161" s="5" t="s">
        <v>50</v>
      </c>
      <c r="G161" s="5" t="s">
        <v>32</v>
      </c>
      <c r="H161" s="5" t="s">
        <v>525</v>
      </c>
      <c r="I161" s="5">
        <v>109819</v>
      </c>
      <c r="J161" s="5" t="s">
        <v>19</v>
      </c>
      <c r="K161" s="5" t="s">
        <v>526</v>
      </c>
      <c r="L161" s="5" t="s">
        <v>21</v>
      </c>
      <c r="M161" s="1">
        <f>VLOOKUP(Employees!A161,Performance!A160:E660,3,0)</f>
        <v>4</v>
      </c>
    </row>
    <row r="162" spans="1:13" x14ac:dyDescent="0.3">
      <c r="A162" s="4" t="s">
        <v>527</v>
      </c>
      <c r="B162" s="4" t="s">
        <v>38</v>
      </c>
      <c r="C162" s="4" t="s">
        <v>14</v>
      </c>
      <c r="D162" s="4" t="s">
        <v>15</v>
      </c>
      <c r="E162" s="4">
        <v>24</v>
      </c>
      <c r="F162" s="4" t="s">
        <v>31</v>
      </c>
      <c r="G162" s="4" t="s">
        <v>40</v>
      </c>
      <c r="H162" s="4" t="s">
        <v>528</v>
      </c>
      <c r="I162" s="4">
        <v>113747</v>
      </c>
      <c r="J162" s="4" t="s">
        <v>60</v>
      </c>
      <c r="K162" s="4" t="s">
        <v>529</v>
      </c>
      <c r="L162" s="4" t="s">
        <v>21</v>
      </c>
      <c r="M162" s="1">
        <f>VLOOKUP(Employees!A162,Performance!A161:E661,3,0)</f>
        <v>3</v>
      </c>
    </row>
    <row r="163" spans="1:13" x14ac:dyDescent="0.3">
      <c r="A163" s="5" t="s">
        <v>530</v>
      </c>
      <c r="B163" s="5" t="s">
        <v>94</v>
      </c>
      <c r="C163" s="5" t="s">
        <v>45</v>
      </c>
      <c r="D163" s="5" t="s">
        <v>24</v>
      </c>
      <c r="E163" s="5">
        <v>51</v>
      </c>
      <c r="F163" s="5" t="s">
        <v>50</v>
      </c>
      <c r="G163" s="5" t="s">
        <v>26</v>
      </c>
      <c r="H163" s="5" t="s">
        <v>258</v>
      </c>
      <c r="I163" s="5">
        <v>103468</v>
      </c>
      <c r="J163" s="5" t="s">
        <v>65</v>
      </c>
      <c r="K163" s="5" t="s">
        <v>531</v>
      </c>
      <c r="L163" s="5" t="s">
        <v>21</v>
      </c>
      <c r="M163" s="1">
        <f>VLOOKUP(Employees!A163,Performance!A162:E662,3,0)</f>
        <v>4</v>
      </c>
    </row>
    <row r="164" spans="1:13" x14ac:dyDescent="0.3">
      <c r="A164" s="4" t="s">
        <v>532</v>
      </c>
      <c r="B164" s="4" t="s">
        <v>30</v>
      </c>
      <c r="C164" s="4" t="s">
        <v>90</v>
      </c>
      <c r="D164" s="4" t="s">
        <v>24</v>
      </c>
      <c r="E164" s="4">
        <v>22</v>
      </c>
      <c r="F164" s="4" t="s">
        <v>31</v>
      </c>
      <c r="G164" s="4" t="s">
        <v>32</v>
      </c>
      <c r="H164" s="4" t="s">
        <v>533</v>
      </c>
      <c r="I164" s="4">
        <v>55327</v>
      </c>
      <c r="J164" s="4" t="s">
        <v>65</v>
      </c>
      <c r="K164" s="4" t="s">
        <v>534</v>
      </c>
      <c r="L164" s="4" t="s">
        <v>36</v>
      </c>
      <c r="M164" s="1">
        <f>VLOOKUP(Employees!A164,Performance!A163:E663,3,0)</f>
        <v>4</v>
      </c>
    </row>
    <row r="165" spans="1:13" x14ac:dyDescent="0.3">
      <c r="A165" s="5" t="s">
        <v>535</v>
      </c>
      <c r="B165" s="5" t="s">
        <v>49</v>
      </c>
      <c r="C165" s="5" t="s">
        <v>45</v>
      </c>
      <c r="D165" s="5" t="s">
        <v>24</v>
      </c>
      <c r="E165" s="5">
        <v>43</v>
      </c>
      <c r="F165" s="5" t="s">
        <v>31</v>
      </c>
      <c r="G165" s="5" t="s">
        <v>26</v>
      </c>
      <c r="H165" s="5" t="s">
        <v>536</v>
      </c>
      <c r="I165" s="5">
        <v>89628</v>
      </c>
      <c r="J165" s="5" t="s">
        <v>60</v>
      </c>
      <c r="K165" s="5" t="s">
        <v>537</v>
      </c>
      <c r="L165" s="5" t="s">
        <v>21</v>
      </c>
      <c r="M165" s="1">
        <f>VLOOKUP(Employees!A165,Performance!A164:E664,3,0)</f>
        <v>3</v>
      </c>
    </row>
    <row r="166" spans="1:13" x14ac:dyDescent="0.3">
      <c r="A166" s="4" t="s">
        <v>538</v>
      </c>
      <c r="B166" s="4" t="s">
        <v>44</v>
      </c>
      <c r="C166" s="4" t="s">
        <v>78</v>
      </c>
      <c r="D166" s="4" t="s">
        <v>15</v>
      </c>
      <c r="E166" s="4">
        <v>25</v>
      </c>
      <c r="F166" s="4" t="s">
        <v>50</v>
      </c>
      <c r="G166" s="4" t="s">
        <v>108</v>
      </c>
      <c r="H166" s="4" t="s">
        <v>539</v>
      </c>
      <c r="I166" s="4">
        <v>98304</v>
      </c>
      <c r="J166" s="4" t="s">
        <v>80</v>
      </c>
      <c r="K166" s="4" t="s">
        <v>540</v>
      </c>
      <c r="L166" s="4" t="s">
        <v>36</v>
      </c>
      <c r="M166" s="1">
        <f>VLOOKUP(Employees!A166,Performance!A165:E665,3,0)</f>
        <v>5</v>
      </c>
    </row>
    <row r="167" spans="1:13" x14ac:dyDescent="0.3">
      <c r="A167" s="5" t="s">
        <v>541</v>
      </c>
      <c r="B167" s="5" t="s">
        <v>54</v>
      </c>
      <c r="C167" s="5" t="s">
        <v>90</v>
      </c>
      <c r="D167" s="5" t="s">
        <v>15</v>
      </c>
      <c r="E167" s="5">
        <v>50</v>
      </c>
      <c r="F167" s="5" t="s">
        <v>16</v>
      </c>
      <c r="G167" s="5" t="s">
        <v>26</v>
      </c>
      <c r="H167" s="5" t="s">
        <v>542</v>
      </c>
      <c r="I167" s="5">
        <v>116611</v>
      </c>
      <c r="J167" s="5" t="s">
        <v>65</v>
      </c>
      <c r="K167" s="5" t="s">
        <v>543</v>
      </c>
      <c r="L167" s="5" t="s">
        <v>36</v>
      </c>
      <c r="M167" s="1">
        <f>VLOOKUP(Employees!A167,Performance!A166:E666,3,0)</f>
        <v>2</v>
      </c>
    </row>
    <row r="168" spans="1:13" x14ac:dyDescent="0.3">
      <c r="A168" s="4" t="s">
        <v>544</v>
      </c>
      <c r="B168" s="4" t="s">
        <v>38</v>
      </c>
      <c r="C168" s="4" t="s">
        <v>78</v>
      </c>
      <c r="D168" s="4" t="s">
        <v>24</v>
      </c>
      <c r="E168" s="4">
        <v>41</v>
      </c>
      <c r="F168" s="4" t="s">
        <v>39</v>
      </c>
      <c r="G168" s="4" t="s">
        <v>17</v>
      </c>
      <c r="H168" s="4" t="s">
        <v>545</v>
      </c>
      <c r="I168" s="4">
        <v>45748</v>
      </c>
      <c r="J168" s="4" t="s">
        <v>19</v>
      </c>
      <c r="K168" s="4" t="s">
        <v>546</v>
      </c>
      <c r="L168" s="4" t="s">
        <v>36</v>
      </c>
      <c r="M168" s="1">
        <f>VLOOKUP(Employees!A168,Performance!A167:E667,3,0)</f>
        <v>1</v>
      </c>
    </row>
    <row r="169" spans="1:13" x14ac:dyDescent="0.3">
      <c r="A169" s="5" t="s">
        <v>547</v>
      </c>
      <c r="B169" s="5" t="s">
        <v>54</v>
      </c>
      <c r="C169" s="5" t="s">
        <v>83</v>
      </c>
      <c r="D169" s="5" t="s">
        <v>24</v>
      </c>
      <c r="E169" s="5">
        <v>48</v>
      </c>
      <c r="F169" s="5" t="s">
        <v>39</v>
      </c>
      <c r="G169" s="5" t="s">
        <v>32</v>
      </c>
      <c r="H169" s="5" t="s">
        <v>548</v>
      </c>
      <c r="I169" s="5">
        <v>45767</v>
      </c>
      <c r="J169" s="5" t="s">
        <v>80</v>
      </c>
      <c r="K169" s="5" t="s">
        <v>549</v>
      </c>
      <c r="L169" s="5" t="s">
        <v>36</v>
      </c>
      <c r="M169" s="1">
        <f>VLOOKUP(Employees!A169,Performance!A168:E668,3,0)</f>
        <v>2</v>
      </c>
    </row>
    <row r="170" spans="1:13" x14ac:dyDescent="0.3">
      <c r="A170" s="4" t="s">
        <v>550</v>
      </c>
      <c r="B170" s="4" t="s">
        <v>58</v>
      </c>
      <c r="C170" s="4" t="s">
        <v>45</v>
      </c>
      <c r="D170" s="4" t="s">
        <v>24</v>
      </c>
      <c r="E170" s="4">
        <v>49</v>
      </c>
      <c r="F170" s="4" t="s">
        <v>50</v>
      </c>
      <c r="G170" s="4" t="s">
        <v>108</v>
      </c>
      <c r="H170" s="4" t="s">
        <v>551</v>
      </c>
      <c r="I170" s="4">
        <v>63927</v>
      </c>
      <c r="J170" s="4" t="s">
        <v>34</v>
      </c>
      <c r="K170" s="4" t="s">
        <v>552</v>
      </c>
      <c r="L170" s="4" t="s">
        <v>36</v>
      </c>
      <c r="M170" s="1">
        <f>VLOOKUP(Employees!A170,Performance!A169:E669,3,0)</f>
        <v>2</v>
      </c>
    </row>
    <row r="171" spans="1:13" x14ac:dyDescent="0.3">
      <c r="A171" s="5" t="s">
        <v>553</v>
      </c>
      <c r="B171" s="5" t="s">
        <v>71</v>
      </c>
      <c r="C171" s="5" t="s">
        <v>23</v>
      </c>
      <c r="D171" s="5" t="s">
        <v>24</v>
      </c>
      <c r="E171" s="5">
        <v>46</v>
      </c>
      <c r="F171" s="5" t="s">
        <v>16</v>
      </c>
      <c r="G171" s="5" t="s">
        <v>108</v>
      </c>
      <c r="H171" s="5" t="s">
        <v>554</v>
      </c>
      <c r="I171" s="5">
        <v>116657</v>
      </c>
      <c r="J171" s="5" t="s">
        <v>60</v>
      </c>
      <c r="K171" s="5" t="s">
        <v>555</v>
      </c>
      <c r="L171" s="5" t="s">
        <v>36</v>
      </c>
      <c r="M171" s="1">
        <f>VLOOKUP(Employees!A171,Performance!A170:E670,3,0)</f>
        <v>1</v>
      </c>
    </row>
    <row r="172" spans="1:13" x14ac:dyDescent="0.3">
      <c r="A172" s="4" t="s">
        <v>556</v>
      </c>
      <c r="B172" s="4" t="s">
        <v>13</v>
      </c>
      <c r="C172" s="4" t="s">
        <v>90</v>
      </c>
      <c r="D172" s="4" t="s">
        <v>24</v>
      </c>
      <c r="E172" s="4">
        <v>49</v>
      </c>
      <c r="F172" s="4" t="s">
        <v>25</v>
      </c>
      <c r="G172" s="4" t="s">
        <v>26</v>
      </c>
      <c r="H172" s="4" t="s">
        <v>557</v>
      </c>
      <c r="I172" s="4">
        <v>35376</v>
      </c>
      <c r="J172" s="4" t="s">
        <v>34</v>
      </c>
      <c r="K172" s="4" t="s">
        <v>558</v>
      </c>
      <c r="L172" s="4" t="s">
        <v>36</v>
      </c>
      <c r="M172" s="1">
        <f>VLOOKUP(Employees!A172,Performance!A171:E671,3,0)</f>
        <v>5</v>
      </c>
    </row>
    <row r="173" spans="1:13" x14ac:dyDescent="0.3">
      <c r="A173" s="5" t="s">
        <v>559</v>
      </c>
      <c r="B173" s="5" t="s">
        <v>143</v>
      </c>
      <c r="C173" s="5" t="s">
        <v>63</v>
      </c>
      <c r="D173" s="5" t="s">
        <v>24</v>
      </c>
      <c r="E173" s="5">
        <v>44</v>
      </c>
      <c r="F173" s="5" t="s">
        <v>25</v>
      </c>
      <c r="G173" s="5" t="s">
        <v>108</v>
      </c>
      <c r="H173" s="5" t="s">
        <v>560</v>
      </c>
      <c r="I173" s="5">
        <v>37908</v>
      </c>
      <c r="J173" s="5" t="s">
        <v>65</v>
      </c>
      <c r="K173" s="5" t="s">
        <v>561</v>
      </c>
      <c r="L173" s="5" t="s">
        <v>21</v>
      </c>
      <c r="M173" s="1">
        <f>VLOOKUP(Employees!A173,Performance!A172:E672,3,0)</f>
        <v>5</v>
      </c>
    </row>
    <row r="174" spans="1:13" x14ac:dyDescent="0.3">
      <c r="A174" s="4" t="s">
        <v>562</v>
      </c>
      <c r="B174" s="4" t="s">
        <v>58</v>
      </c>
      <c r="C174" s="4" t="s">
        <v>63</v>
      </c>
      <c r="D174" s="4" t="s">
        <v>24</v>
      </c>
      <c r="E174" s="4">
        <v>59</v>
      </c>
      <c r="F174" s="4" t="s">
        <v>16</v>
      </c>
      <c r="G174" s="4" t="s">
        <v>17</v>
      </c>
      <c r="H174" s="4" t="s">
        <v>563</v>
      </c>
      <c r="I174" s="4">
        <v>106205</v>
      </c>
      <c r="J174" s="4" t="s">
        <v>34</v>
      </c>
      <c r="K174" s="4" t="s">
        <v>564</v>
      </c>
      <c r="L174" s="4" t="s">
        <v>21</v>
      </c>
      <c r="M174" s="1">
        <f>VLOOKUP(Employees!A174,Performance!A173:E673,3,0)</f>
        <v>3</v>
      </c>
    </row>
    <row r="175" spans="1:13" x14ac:dyDescent="0.3">
      <c r="A175" s="5" t="s">
        <v>565</v>
      </c>
      <c r="B175" s="5" t="s">
        <v>94</v>
      </c>
      <c r="C175" s="5" t="s">
        <v>130</v>
      </c>
      <c r="D175" s="5" t="s">
        <v>15</v>
      </c>
      <c r="E175" s="5">
        <v>29</v>
      </c>
      <c r="F175" s="5" t="s">
        <v>39</v>
      </c>
      <c r="G175" s="5" t="s">
        <v>108</v>
      </c>
      <c r="H175" s="5" t="s">
        <v>566</v>
      </c>
      <c r="I175" s="5">
        <v>101504</v>
      </c>
      <c r="J175" s="5" t="s">
        <v>80</v>
      </c>
      <c r="K175" s="5" t="s">
        <v>567</v>
      </c>
      <c r="L175" s="5" t="s">
        <v>21</v>
      </c>
      <c r="M175" s="1">
        <f>VLOOKUP(Employees!A175,Performance!A174:E674,3,0)</f>
        <v>1</v>
      </c>
    </row>
    <row r="176" spans="1:13" x14ac:dyDescent="0.3">
      <c r="A176" s="4" t="s">
        <v>568</v>
      </c>
      <c r="B176" s="4" t="s">
        <v>54</v>
      </c>
      <c r="C176" s="4" t="s">
        <v>63</v>
      </c>
      <c r="D176" s="4" t="s">
        <v>15</v>
      </c>
      <c r="E176" s="4">
        <v>48</v>
      </c>
      <c r="F176" s="4" t="s">
        <v>16</v>
      </c>
      <c r="G176" s="4" t="s">
        <v>108</v>
      </c>
      <c r="H176" s="4" t="s">
        <v>569</v>
      </c>
      <c r="I176" s="4">
        <v>36710</v>
      </c>
      <c r="J176" s="4" t="s">
        <v>34</v>
      </c>
      <c r="K176" s="4" t="s">
        <v>570</v>
      </c>
      <c r="L176" s="4" t="s">
        <v>21</v>
      </c>
      <c r="M176" s="1">
        <f>VLOOKUP(Employees!A176,Performance!A175:E675,3,0)</f>
        <v>1</v>
      </c>
    </row>
    <row r="177" spans="1:13" x14ac:dyDescent="0.3">
      <c r="A177" s="5" t="s">
        <v>571</v>
      </c>
      <c r="B177" s="5" t="s">
        <v>143</v>
      </c>
      <c r="C177" s="5" t="s">
        <v>83</v>
      </c>
      <c r="D177" s="5" t="s">
        <v>15</v>
      </c>
      <c r="E177" s="5">
        <v>58</v>
      </c>
      <c r="F177" s="5" t="s">
        <v>16</v>
      </c>
      <c r="G177" s="5" t="s">
        <v>32</v>
      </c>
      <c r="H177" s="5" t="s">
        <v>572</v>
      </c>
      <c r="I177" s="5">
        <v>78149</v>
      </c>
      <c r="J177" s="5" t="s">
        <v>19</v>
      </c>
      <c r="K177" s="5" t="s">
        <v>573</v>
      </c>
      <c r="L177" s="5" t="s">
        <v>36</v>
      </c>
      <c r="M177" s="1">
        <f>VLOOKUP(Employees!A177,Performance!A176:E676,3,0)</f>
        <v>5</v>
      </c>
    </row>
    <row r="178" spans="1:13" x14ac:dyDescent="0.3">
      <c r="A178" s="4" t="s">
        <v>574</v>
      </c>
      <c r="B178" s="4" t="s">
        <v>54</v>
      </c>
      <c r="C178" s="4" t="s">
        <v>90</v>
      </c>
      <c r="D178" s="4" t="s">
        <v>15</v>
      </c>
      <c r="E178" s="4">
        <v>57</v>
      </c>
      <c r="F178" s="4" t="s">
        <v>31</v>
      </c>
      <c r="G178" s="4" t="s">
        <v>32</v>
      </c>
      <c r="H178" s="4" t="s">
        <v>575</v>
      </c>
      <c r="I178" s="4">
        <v>93998</v>
      </c>
      <c r="J178" s="4" t="s">
        <v>19</v>
      </c>
      <c r="K178" s="4" t="s">
        <v>576</v>
      </c>
      <c r="L178" s="4" t="s">
        <v>36</v>
      </c>
      <c r="M178" s="1">
        <f>VLOOKUP(Employees!A178,Performance!A177:E677,3,0)</f>
        <v>4</v>
      </c>
    </row>
    <row r="179" spans="1:13" x14ac:dyDescent="0.3">
      <c r="A179" s="5" t="s">
        <v>577</v>
      </c>
      <c r="B179" s="5" t="s">
        <v>58</v>
      </c>
      <c r="C179" s="5" t="s">
        <v>78</v>
      </c>
      <c r="D179" s="5" t="s">
        <v>24</v>
      </c>
      <c r="E179" s="5">
        <v>50</v>
      </c>
      <c r="F179" s="5" t="s">
        <v>16</v>
      </c>
      <c r="G179" s="5" t="s">
        <v>40</v>
      </c>
      <c r="H179" s="5" t="s">
        <v>578</v>
      </c>
      <c r="I179" s="5">
        <v>47599</v>
      </c>
      <c r="J179" s="5" t="s">
        <v>80</v>
      </c>
      <c r="K179" s="5" t="s">
        <v>579</v>
      </c>
      <c r="L179" s="5" t="s">
        <v>21</v>
      </c>
      <c r="M179" s="1">
        <f>VLOOKUP(Employees!A179,Performance!A178:E678,3,0)</f>
        <v>3</v>
      </c>
    </row>
    <row r="180" spans="1:13" x14ac:dyDescent="0.3">
      <c r="A180" s="4" t="s">
        <v>580</v>
      </c>
      <c r="B180" s="4" t="s">
        <v>54</v>
      </c>
      <c r="C180" s="4" t="s">
        <v>45</v>
      </c>
      <c r="D180" s="4" t="s">
        <v>15</v>
      </c>
      <c r="E180" s="4">
        <v>32</v>
      </c>
      <c r="F180" s="4" t="s">
        <v>50</v>
      </c>
      <c r="G180" s="4" t="s">
        <v>26</v>
      </c>
      <c r="H180" s="4" t="s">
        <v>581</v>
      </c>
      <c r="I180" s="4">
        <v>82412</v>
      </c>
      <c r="J180" s="4" t="s">
        <v>65</v>
      </c>
      <c r="K180" s="4" t="s">
        <v>582</v>
      </c>
      <c r="L180" s="4" t="s">
        <v>36</v>
      </c>
      <c r="M180" s="1">
        <f>VLOOKUP(Employees!A180,Performance!A179:E679,3,0)</f>
        <v>4</v>
      </c>
    </row>
    <row r="181" spans="1:13" x14ac:dyDescent="0.3">
      <c r="A181" s="5" t="s">
        <v>583</v>
      </c>
      <c r="B181" s="5" t="s">
        <v>30</v>
      </c>
      <c r="C181" s="5" t="s">
        <v>78</v>
      </c>
      <c r="D181" s="5" t="s">
        <v>24</v>
      </c>
      <c r="E181" s="5">
        <v>52</v>
      </c>
      <c r="F181" s="5" t="s">
        <v>31</v>
      </c>
      <c r="G181" s="5" t="s">
        <v>17</v>
      </c>
      <c r="H181" s="5" t="s">
        <v>584</v>
      </c>
      <c r="I181" s="5">
        <v>82496</v>
      </c>
      <c r="J181" s="5" t="s">
        <v>65</v>
      </c>
      <c r="K181" s="5" t="s">
        <v>585</v>
      </c>
      <c r="L181" s="5" t="s">
        <v>21</v>
      </c>
      <c r="M181" s="1">
        <f>VLOOKUP(Employees!A181,Performance!A180:E680,3,0)</f>
        <v>2</v>
      </c>
    </row>
    <row r="182" spans="1:13" x14ac:dyDescent="0.3">
      <c r="A182" s="4" t="s">
        <v>586</v>
      </c>
      <c r="B182" s="4" t="s">
        <v>49</v>
      </c>
      <c r="C182" s="4" t="s">
        <v>130</v>
      </c>
      <c r="D182" s="4" t="s">
        <v>15</v>
      </c>
      <c r="E182" s="4">
        <v>60</v>
      </c>
      <c r="F182" s="4" t="s">
        <v>31</v>
      </c>
      <c r="G182" s="4" t="s">
        <v>26</v>
      </c>
      <c r="H182" s="4" t="s">
        <v>587</v>
      </c>
      <c r="I182" s="4">
        <v>51231</v>
      </c>
      <c r="J182" s="4" t="s">
        <v>65</v>
      </c>
      <c r="K182" s="4" t="s">
        <v>588</v>
      </c>
      <c r="L182" s="4" t="s">
        <v>36</v>
      </c>
      <c r="M182" s="1">
        <f>VLOOKUP(Employees!A182,Performance!A181:E681,3,0)</f>
        <v>2</v>
      </c>
    </row>
    <row r="183" spans="1:13" x14ac:dyDescent="0.3">
      <c r="A183" s="5" t="s">
        <v>589</v>
      </c>
      <c r="B183" s="5" t="s">
        <v>143</v>
      </c>
      <c r="C183" s="5" t="s">
        <v>14</v>
      </c>
      <c r="D183" s="5" t="s">
        <v>15</v>
      </c>
      <c r="E183" s="5">
        <v>48</v>
      </c>
      <c r="F183" s="5" t="s">
        <v>50</v>
      </c>
      <c r="G183" s="5" t="s">
        <v>26</v>
      </c>
      <c r="H183" s="5" t="s">
        <v>590</v>
      </c>
      <c r="I183" s="5">
        <v>119053</v>
      </c>
      <c r="J183" s="5" t="s">
        <v>19</v>
      </c>
      <c r="K183" s="5" t="s">
        <v>591</v>
      </c>
      <c r="L183" s="5" t="s">
        <v>21</v>
      </c>
      <c r="M183" s="1">
        <f>VLOOKUP(Employees!A183,Performance!A182:E682,3,0)</f>
        <v>4</v>
      </c>
    </row>
    <row r="184" spans="1:13" x14ac:dyDescent="0.3">
      <c r="A184" s="4" t="s">
        <v>592</v>
      </c>
      <c r="B184" s="4" t="s">
        <v>71</v>
      </c>
      <c r="C184" s="4" t="s">
        <v>83</v>
      </c>
      <c r="D184" s="4" t="s">
        <v>24</v>
      </c>
      <c r="E184" s="4">
        <v>60</v>
      </c>
      <c r="F184" s="4" t="s">
        <v>31</v>
      </c>
      <c r="G184" s="4" t="s">
        <v>17</v>
      </c>
      <c r="H184" s="4" t="s">
        <v>593</v>
      </c>
      <c r="I184" s="4">
        <v>111243</v>
      </c>
      <c r="J184" s="4" t="s">
        <v>19</v>
      </c>
      <c r="K184" s="4" t="s">
        <v>594</v>
      </c>
      <c r="L184" s="4" t="s">
        <v>21</v>
      </c>
      <c r="M184" s="1">
        <f>VLOOKUP(Employees!A184,Performance!A183:E683,3,0)</f>
        <v>4</v>
      </c>
    </row>
    <row r="185" spans="1:13" x14ac:dyDescent="0.3">
      <c r="A185" s="5" t="s">
        <v>595</v>
      </c>
      <c r="B185" s="5" t="s">
        <v>143</v>
      </c>
      <c r="C185" s="5" t="s">
        <v>63</v>
      </c>
      <c r="D185" s="5" t="s">
        <v>15</v>
      </c>
      <c r="E185" s="5">
        <v>55</v>
      </c>
      <c r="F185" s="5" t="s">
        <v>25</v>
      </c>
      <c r="G185" s="5" t="s">
        <v>17</v>
      </c>
      <c r="H185" s="5" t="s">
        <v>596</v>
      </c>
      <c r="I185" s="5">
        <v>73063</v>
      </c>
      <c r="J185" s="5" t="s">
        <v>80</v>
      </c>
      <c r="K185" s="5" t="s">
        <v>597</v>
      </c>
      <c r="L185" s="5" t="s">
        <v>21</v>
      </c>
      <c r="M185" s="1">
        <f>VLOOKUP(Employees!A185,Performance!A184:E684,3,0)</f>
        <v>1</v>
      </c>
    </row>
    <row r="186" spans="1:13" x14ac:dyDescent="0.3">
      <c r="A186" s="4" t="s">
        <v>598</v>
      </c>
      <c r="B186" s="4" t="s">
        <v>143</v>
      </c>
      <c r="C186" s="4" t="s">
        <v>45</v>
      </c>
      <c r="D186" s="4" t="s">
        <v>24</v>
      </c>
      <c r="E186" s="4">
        <v>35</v>
      </c>
      <c r="F186" s="4" t="s">
        <v>39</v>
      </c>
      <c r="G186" s="4" t="s">
        <v>17</v>
      </c>
      <c r="H186" s="4" t="s">
        <v>427</v>
      </c>
      <c r="I186" s="4">
        <v>71247</v>
      </c>
      <c r="J186" s="4" t="s">
        <v>19</v>
      </c>
      <c r="K186" s="4" t="s">
        <v>599</v>
      </c>
      <c r="L186" s="4" t="s">
        <v>36</v>
      </c>
      <c r="M186" s="1">
        <f>VLOOKUP(Employees!A186,Performance!A185:E685,3,0)</f>
        <v>4</v>
      </c>
    </row>
    <row r="187" spans="1:13" x14ac:dyDescent="0.3">
      <c r="A187" s="5" t="s">
        <v>600</v>
      </c>
      <c r="B187" s="5" t="s">
        <v>38</v>
      </c>
      <c r="C187" s="5" t="s">
        <v>130</v>
      </c>
      <c r="D187" s="5" t="s">
        <v>24</v>
      </c>
      <c r="E187" s="5">
        <v>41</v>
      </c>
      <c r="F187" s="5" t="s">
        <v>31</v>
      </c>
      <c r="G187" s="5" t="s">
        <v>26</v>
      </c>
      <c r="H187" s="5" t="s">
        <v>601</v>
      </c>
      <c r="I187" s="5">
        <v>67422</v>
      </c>
      <c r="J187" s="5" t="s">
        <v>65</v>
      </c>
      <c r="K187" s="5" t="s">
        <v>602</v>
      </c>
      <c r="L187" s="5" t="s">
        <v>36</v>
      </c>
      <c r="M187" s="1">
        <f>VLOOKUP(Employees!A187,Performance!A186:E686,3,0)</f>
        <v>2</v>
      </c>
    </row>
    <row r="188" spans="1:13" x14ac:dyDescent="0.3">
      <c r="A188" s="4" t="s">
        <v>603</v>
      </c>
      <c r="B188" s="4" t="s">
        <v>30</v>
      </c>
      <c r="C188" s="4" t="s">
        <v>63</v>
      </c>
      <c r="D188" s="4" t="s">
        <v>15</v>
      </c>
      <c r="E188" s="4">
        <v>26</v>
      </c>
      <c r="F188" s="4" t="s">
        <v>25</v>
      </c>
      <c r="G188" s="4" t="s">
        <v>32</v>
      </c>
      <c r="H188" s="4" t="s">
        <v>201</v>
      </c>
      <c r="I188" s="4">
        <v>110628</v>
      </c>
      <c r="J188" s="4" t="s">
        <v>65</v>
      </c>
      <c r="K188" s="4" t="s">
        <v>604</v>
      </c>
      <c r="L188" s="4" t="s">
        <v>36</v>
      </c>
      <c r="M188" s="1">
        <f>VLOOKUP(Employees!A188,Performance!A187:E687,3,0)</f>
        <v>3</v>
      </c>
    </row>
    <row r="189" spans="1:13" x14ac:dyDescent="0.3">
      <c r="A189" s="5" t="s">
        <v>605</v>
      </c>
      <c r="B189" s="5" t="s">
        <v>49</v>
      </c>
      <c r="C189" s="5" t="s">
        <v>165</v>
      </c>
      <c r="D189" s="5" t="s">
        <v>15</v>
      </c>
      <c r="E189" s="5">
        <v>48</v>
      </c>
      <c r="F189" s="5" t="s">
        <v>39</v>
      </c>
      <c r="G189" s="5" t="s">
        <v>17</v>
      </c>
      <c r="H189" s="5" t="s">
        <v>606</v>
      </c>
      <c r="I189" s="5">
        <v>96540</v>
      </c>
      <c r="J189" s="5" t="s">
        <v>34</v>
      </c>
      <c r="K189" s="5" t="s">
        <v>607</v>
      </c>
      <c r="L189" s="5" t="s">
        <v>36</v>
      </c>
      <c r="M189" s="1">
        <f>VLOOKUP(Employees!A189,Performance!A188:E688,3,0)</f>
        <v>3</v>
      </c>
    </row>
    <row r="190" spans="1:13" x14ac:dyDescent="0.3">
      <c r="A190" s="4" t="s">
        <v>608</v>
      </c>
      <c r="B190" s="4" t="s">
        <v>54</v>
      </c>
      <c r="C190" s="4" t="s">
        <v>78</v>
      </c>
      <c r="D190" s="4" t="s">
        <v>15</v>
      </c>
      <c r="E190" s="4">
        <v>49</v>
      </c>
      <c r="F190" s="4" t="s">
        <v>39</v>
      </c>
      <c r="G190" s="4" t="s">
        <v>17</v>
      </c>
      <c r="H190" s="4" t="s">
        <v>609</v>
      </c>
      <c r="I190" s="4">
        <v>76991</v>
      </c>
      <c r="J190" s="4" t="s">
        <v>60</v>
      </c>
      <c r="K190" s="4" t="s">
        <v>610</v>
      </c>
      <c r="L190" s="4" t="s">
        <v>21</v>
      </c>
      <c r="M190" s="1">
        <f>VLOOKUP(Employees!A190,Performance!A189:E689,3,0)</f>
        <v>5</v>
      </c>
    </row>
    <row r="191" spans="1:13" x14ac:dyDescent="0.3">
      <c r="A191" s="5" t="s">
        <v>611</v>
      </c>
      <c r="B191" s="5" t="s">
        <v>58</v>
      </c>
      <c r="C191" s="5" t="s">
        <v>130</v>
      </c>
      <c r="D191" s="5" t="s">
        <v>24</v>
      </c>
      <c r="E191" s="5">
        <v>26</v>
      </c>
      <c r="F191" s="5" t="s">
        <v>31</v>
      </c>
      <c r="G191" s="5" t="s">
        <v>17</v>
      </c>
      <c r="H191" s="5" t="s">
        <v>612</v>
      </c>
      <c r="I191" s="5">
        <v>92562</v>
      </c>
      <c r="J191" s="5" t="s">
        <v>34</v>
      </c>
      <c r="K191" s="5" t="s">
        <v>613</v>
      </c>
      <c r="L191" s="5" t="s">
        <v>36</v>
      </c>
      <c r="M191" s="1">
        <f>VLOOKUP(Employees!A191,Performance!A190:E690,3,0)</f>
        <v>5</v>
      </c>
    </row>
    <row r="192" spans="1:13" x14ac:dyDescent="0.3">
      <c r="A192" s="4" t="s">
        <v>614</v>
      </c>
      <c r="B192" s="4" t="s">
        <v>143</v>
      </c>
      <c r="C192" s="4" t="s">
        <v>165</v>
      </c>
      <c r="D192" s="4" t="s">
        <v>15</v>
      </c>
      <c r="E192" s="4">
        <v>51</v>
      </c>
      <c r="F192" s="4" t="s">
        <v>31</v>
      </c>
      <c r="G192" s="4" t="s">
        <v>40</v>
      </c>
      <c r="H192" s="4" t="s">
        <v>615</v>
      </c>
      <c r="I192" s="4">
        <v>102983</v>
      </c>
      <c r="J192" s="4" t="s">
        <v>34</v>
      </c>
      <c r="K192" s="4" t="s">
        <v>616</v>
      </c>
      <c r="L192" s="4" t="s">
        <v>36</v>
      </c>
      <c r="M192" s="1">
        <f>VLOOKUP(Employees!A192,Performance!A191:E691,3,0)</f>
        <v>2</v>
      </c>
    </row>
    <row r="193" spans="1:13" x14ac:dyDescent="0.3">
      <c r="A193" s="5" t="s">
        <v>617</v>
      </c>
      <c r="B193" s="5" t="s">
        <v>143</v>
      </c>
      <c r="C193" s="5" t="s">
        <v>95</v>
      </c>
      <c r="D193" s="5" t="s">
        <v>24</v>
      </c>
      <c r="E193" s="5">
        <v>23</v>
      </c>
      <c r="F193" s="5" t="s">
        <v>16</v>
      </c>
      <c r="G193" s="5" t="s">
        <v>32</v>
      </c>
      <c r="H193" s="5" t="s">
        <v>618</v>
      </c>
      <c r="I193" s="5">
        <v>114420</v>
      </c>
      <c r="J193" s="5" t="s">
        <v>19</v>
      </c>
      <c r="K193" s="5" t="s">
        <v>619</v>
      </c>
      <c r="L193" s="5" t="s">
        <v>21</v>
      </c>
      <c r="M193" s="1">
        <f>VLOOKUP(Employees!A193,Performance!A192:E692,3,0)</f>
        <v>3</v>
      </c>
    </row>
    <row r="194" spans="1:13" x14ac:dyDescent="0.3">
      <c r="A194" s="4" t="s">
        <v>620</v>
      </c>
      <c r="B194" s="4" t="s">
        <v>30</v>
      </c>
      <c r="C194" s="4" t="s">
        <v>165</v>
      </c>
      <c r="D194" s="4" t="s">
        <v>15</v>
      </c>
      <c r="E194" s="4">
        <v>58</v>
      </c>
      <c r="F194" s="4" t="s">
        <v>50</v>
      </c>
      <c r="G194" s="4" t="s">
        <v>32</v>
      </c>
      <c r="H194" s="4" t="s">
        <v>621</v>
      </c>
      <c r="I194" s="4">
        <v>108419</v>
      </c>
      <c r="J194" s="4" t="s">
        <v>60</v>
      </c>
      <c r="K194" s="4" t="s">
        <v>622</v>
      </c>
      <c r="L194" s="4" t="s">
        <v>21</v>
      </c>
      <c r="M194" s="1">
        <f>VLOOKUP(Employees!A194,Performance!A193:E693,3,0)</f>
        <v>3</v>
      </c>
    </row>
    <row r="195" spans="1:13" x14ac:dyDescent="0.3">
      <c r="A195" s="5" t="s">
        <v>623</v>
      </c>
      <c r="B195" s="5" t="s">
        <v>94</v>
      </c>
      <c r="C195" s="5" t="s">
        <v>45</v>
      </c>
      <c r="D195" s="5" t="s">
        <v>24</v>
      </c>
      <c r="E195" s="5">
        <v>54</v>
      </c>
      <c r="F195" s="5" t="s">
        <v>31</v>
      </c>
      <c r="G195" s="5" t="s">
        <v>108</v>
      </c>
      <c r="H195" s="5" t="s">
        <v>624</v>
      </c>
      <c r="I195" s="5">
        <v>100498</v>
      </c>
      <c r="J195" s="5" t="s">
        <v>65</v>
      </c>
      <c r="K195" s="5" t="s">
        <v>625</v>
      </c>
      <c r="L195" s="5" t="s">
        <v>36</v>
      </c>
      <c r="M195" s="1">
        <f>VLOOKUP(Employees!A195,Performance!A194:E694,3,0)</f>
        <v>3</v>
      </c>
    </row>
    <row r="196" spans="1:13" x14ac:dyDescent="0.3">
      <c r="A196" s="4" t="s">
        <v>626</v>
      </c>
      <c r="B196" s="4" t="s">
        <v>13</v>
      </c>
      <c r="C196" s="4" t="s">
        <v>165</v>
      </c>
      <c r="D196" s="4" t="s">
        <v>24</v>
      </c>
      <c r="E196" s="4">
        <v>48</v>
      </c>
      <c r="F196" s="4" t="s">
        <v>25</v>
      </c>
      <c r="G196" s="4" t="s">
        <v>17</v>
      </c>
      <c r="H196" s="4" t="s">
        <v>627</v>
      </c>
      <c r="I196" s="4">
        <v>62004</v>
      </c>
      <c r="J196" s="4" t="s">
        <v>65</v>
      </c>
      <c r="K196" s="4" t="s">
        <v>628</v>
      </c>
      <c r="L196" s="4" t="s">
        <v>21</v>
      </c>
      <c r="M196" s="1">
        <f>VLOOKUP(Employees!A196,Performance!A195:E695,3,0)</f>
        <v>2</v>
      </c>
    </row>
    <row r="197" spans="1:13" x14ac:dyDescent="0.3">
      <c r="A197" s="5" t="s">
        <v>629</v>
      </c>
      <c r="B197" s="5" t="s">
        <v>58</v>
      </c>
      <c r="C197" s="5" t="s">
        <v>83</v>
      </c>
      <c r="D197" s="5" t="s">
        <v>24</v>
      </c>
      <c r="E197" s="5">
        <v>46</v>
      </c>
      <c r="F197" s="5" t="s">
        <v>39</v>
      </c>
      <c r="G197" s="5" t="s">
        <v>26</v>
      </c>
      <c r="H197" s="5" t="s">
        <v>630</v>
      </c>
      <c r="I197" s="5">
        <v>37033</v>
      </c>
      <c r="J197" s="5" t="s">
        <v>60</v>
      </c>
      <c r="K197" s="5" t="s">
        <v>631</v>
      </c>
      <c r="L197" s="5" t="s">
        <v>36</v>
      </c>
      <c r="M197" s="1">
        <f>VLOOKUP(Employees!A197,Performance!A196:E696,3,0)</f>
        <v>3</v>
      </c>
    </row>
    <row r="198" spans="1:13" x14ac:dyDescent="0.3">
      <c r="A198" s="4" t="s">
        <v>632</v>
      </c>
      <c r="B198" s="4" t="s">
        <v>13</v>
      </c>
      <c r="C198" s="4" t="s">
        <v>63</v>
      </c>
      <c r="D198" s="4" t="s">
        <v>24</v>
      </c>
      <c r="E198" s="4">
        <v>25</v>
      </c>
      <c r="F198" s="4" t="s">
        <v>39</v>
      </c>
      <c r="G198" s="4" t="s">
        <v>108</v>
      </c>
      <c r="H198" s="4" t="s">
        <v>633</v>
      </c>
      <c r="I198" s="4">
        <v>58062</v>
      </c>
      <c r="J198" s="4" t="s">
        <v>34</v>
      </c>
      <c r="K198" s="4" t="s">
        <v>634</v>
      </c>
      <c r="L198" s="4" t="s">
        <v>21</v>
      </c>
      <c r="M198" s="1">
        <f>VLOOKUP(Employees!A198,Performance!A197:E697,3,0)</f>
        <v>2</v>
      </c>
    </row>
    <row r="199" spans="1:13" x14ac:dyDescent="0.3">
      <c r="A199" s="5" t="s">
        <v>635</v>
      </c>
      <c r="B199" s="5" t="s">
        <v>44</v>
      </c>
      <c r="C199" s="5" t="s">
        <v>130</v>
      </c>
      <c r="D199" s="5" t="s">
        <v>15</v>
      </c>
      <c r="E199" s="5">
        <v>29</v>
      </c>
      <c r="F199" s="5" t="s">
        <v>16</v>
      </c>
      <c r="G199" s="5" t="s">
        <v>40</v>
      </c>
      <c r="H199" s="5" t="s">
        <v>261</v>
      </c>
      <c r="I199" s="5">
        <v>49357</v>
      </c>
      <c r="J199" s="5" t="s">
        <v>60</v>
      </c>
      <c r="K199" s="5" t="s">
        <v>636</v>
      </c>
      <c r="L199" s="5" t="s">
        <v>21</v>
      </c>
      <c r="M199" s="1">
        <f>VLOOKUP(Employees!A199,Performance!A198:E698,3,0)</f>
        <v>2</v>
      </c>
    </row>
    <row r="200" spans="1:13" x14ac:dyDescent="0.3">
      <c r="A200" s="4" t="s">
        <v>637</v>
      </c>
      <c r="B200" s="4" t="s">
        <v>71</v>
      </c>
      <c r="C200" s="4" t="s">
        <v>90</v>
      </c>
      <c r="D200" s="4" t="s">
        <v>15</v>
      </c>
      <c r="E200" s="4">
        <v>54</v>
      </c>
      <c r="F200" s="4" t="s">
        <v>31</v>
      </c>
      <c r="G200" s="4" t="s">
        <v>26</v>
      </c>
      <c r="H200" s="4" t="s">
        <v>638</v>
      </c>
      <c r="I200" s="4">
        <v>59758</v>
      </c>
      <c r="J200" s="4" t="s">
        <v>34</v>
      </c>
      <c r="K200" s="4" t="s">
        <v>639</v>
      </c>
      <c r="L200" s="4" t="s">
        <v>36</v>
      </c>
      <c r="M200" s="1">
        <f>VLOOKUP(Employees!A200,Performance!A199:E699,3,0)</f>
        <v>5</v>
      </c>
    </row>
    <row r="201" spans="1:13" x14ac:dyDescent="0.3">
      <c r="A201" s="5" t="s">
        <v>640</v>
      </c>
      <c r="B201" s="5" t="s">
        <v>94</v>
      </c>
      <c r="C201" s="5" t="s">
        <v>165</v>
      </c>
      <c r="D201" s="5" t="s">
        <v>24</v>
      </c>
      <c r="E201" s="5">
        <v>37</v>
      </c>
      <c r="F201" s="5" t="s">
        <v>50</v>
      </c>
      <c r="G201" s="5" t="s">
        <v>17</v>
      </c>
      <c r="H201" s="5" t="s">
        <v>641</v>
      </c>
      <c r="I201" s="5">
        <v>45788</v>
      </c>
      <c r="J201" s="5" t="s">
        <v>80</v>
      </c>
      <c r="K201" s="5" t="s">
        <v>642</v>
      </c>
      <c r="L201" s="5" t="s">
        <v>36</v>
      </c>
      <c r="M201" s="1">
        <f>VLOOKUP(Employees!A201,Performance!A200:E700,3,0)</f>
        <v>1</v>
      </c>
    </row>
    <row r="202" spans="1:13" x14ac:dyDescent="0.3">
      <c r="A202" s="4" t="s">
        <v>643</v>
      </c>
      <c r="B202" s="4" t="s">
        <v>30</v>
      </c>
      <c r="C202" s="4" t="s">
        <v>23</v>
      </c>
      <c r="D202" s="4" t="s">
        <v>24</v>
      </c>
      <c r="E202" s="4">
        <v>28</v>
      </c>
      <c r="F202" s="4" t="s">
        <v>16</v>
      </c>
      <c r="G202" s="4" t="s">
        <v>32</v>
      </c>
      <c r="H202" s="4" t="s">
        <v>644</v>
      </c>
      <c r="I202" s="4">
        <v>38862</v>
      </c>
      <c r="J202" s="4" t="s">
        <v>65</v>
      </c>
      <c r="K202" s="4" t="s">
        <v>645</v>
      </c>
      <c r="L202" s="4" t="s">
        <v>36</v>
      </c>
      <c r="M202" s="1">
        <f>VLOOKUP(Employees!A202,Performance!A201:E701,3,0)</f>
        <v>3</v>
      </c>
    </row>
    <row r="203" spans="1:13" x14ac:dyDescent="0.3">
      <c r="A203" s="5" t="s">
        <v>646</v>
      </c>
      <c r="B203" s="5" t="s">
        <v>44</v>
      </c>
      <c r="C203" s="5" t="s">
        <v>165</v>
      </c>
      <c r="D203" s="5" t="s">
        <v>24</v>
      </c>
      <c r="E203" s="5">
        <v>48</v>
      </c>
      <c r="F203" s="5" t="s">
        <v>25</v>
      </c>
      <c r="G203" s="5" t="s">
        <v>40</v>
      </c>
      <c r="H203" s="5" t="s">
        <v>647</v>
      </c>
      <c r="I203" s="5">
        <v>76132</v>
      </c>
      <c r="J203" s="5" t="s">
        <v>19</v>
      </c>
      <c r="K203" s="5" t="s">
        <v>648</v>
      </c>
      <c r="L203" s="5" t="s">
        <v>36</v>
      </c>
      <c r="M203" s="1">
        <f>VLOOKUP(Employees!A203,Performance!A202:E702,3,0)</f>
        <v>2</v>
      </c>
    </row>
    <row r="204" spans="1:13" x14ac:dyDescent="0.3">
      <c r="A204" s="4" t="s">
        <v>649</v>
      </c>
      <c r="B204" s="4" t="s">
        <v>30</v>
      </c>
      <c r="C204" s="4" t="s">
        <v>78</v>
      </c>
      <c r="D204" s="4" t="s">
        <v>24</v>
      </c>
      <c r="E204" s="4">
        <v>49</v>
      </c>
      <c r="F204" s="4" t="s">
        <v>25</v>
      </c>
      <c r="G204" s="4" t="s">
        <v>17</v>
      </c>
      <c r="H204" s="4" t="s">
        <v>650</v>
      </c>
      <c r="I204" s="4">
        <v>56773</v>
      </c>
      <c r="J204" s="4" t="s">
        <v>80</v>
      </c>
      <c r="K204" s="4" t="s">
        <v>651</v>
      </c>
      <c r="L204" s="4" t="s">
        <v>21</v>
      </c>
      <c r="M204" s="1">
        <f>VLOOKUP(Employees!A204,Performance!A203:E703,3,0)</f>
        <v>2</v>
      </c>
    </row>
    <row r="205" spans="1:13" x14ac:dyDescent="0.3">
      <c r="A205" s="5" t="s">
        <v>652</v>
      </c>
      <c r="B205" s="5" t="s">
        <v>30</v>
      </c>
      <c r="C205" s="5" t="s">
        <v>23</v>
      </c>
      <c r="D205" s="5" t="s">
        <v>15</v>
      </c>
      <c r="E205" s="5">
        <v>25</v>
      </c>
      <c r="F205" s="5" t="s">
        <v>16</v>
      </c>
      <c r="G205" s="5" t="s">
        <v>40</v>
      </c>
      <c r="H205" s="5" t="s">
        <v>653</v>
      </c>
      <c r="I205" s="5">
        <v>84117</v>
      </c>
      <c r="J205" s="5" t="s">
        <v>80</v>
      </c>
      <c r="K205" s="5" t="s">
        <v>654</v>
      </c>
      <c r="L205" s="5" t="s">
        <v>36</v>
      </c>
      <c r="M205" s="1">
        <f>VLOOKUP(Employees!A205,Performance!A204:E704,3,0)</f>
        <v>4</v>
      </c>
    </row>
    <row r="206" spans="1:13" x14ac:dyDescent="0.3">
      <c r="A206" s="4" t="s">
        <v>655</v>
      </c>
      <c r="B206" s="4" t="s">
        <v>58</v>
      </c>
      <c r="C206" s="4" t="s">
        <v>45</v>
      </c>
      <c r="D206" s="4" t="s">
        <v>24</v>
      </c>
      <c r="E206" s="4">
        <v>41</v>
      </c>
      <c r="F206" s="4" t="s">
        <v>16</v>
      </c>
      <c r="G206" s="4" t="s">
        <v>26</v>
      </c>
      <c r="H206" s="4" t="s">
        <v>656</v>
      </c>
      <c r="I206" s="4">
        <v>111999</v>
      </c>
      <c r="J206" s="4" t="s">
        <v>80</v>
      </c>
      <c r="K206" s="4" t="s">
        <v>657</v>
      </c>
      <c r="L206" s="4" t="s">
        <v>36</v>
      </c>
      <c r="M206" s="1">
        <f>VLOOKUP(Employees!A206,Performance!A205:E705,3,0)</f>
        <v>4</v>
      </c>
    </row>
    <row r="207" spans="1:13" x14ac:dyDescent="0.3">
      <c r="A207" s="5" t="s">
        <v>658</v>
      </c>
      <c r="B207" s="5" t="s">
        <v>13</v>
      </c>
      <c r="C207" s="5" t="s">
        <v>45</v>
      </c>
      <c r="D207" s="5" t="s">
        <v>15</v>
      </c>
      <c r="E207" s="5">
        <v>23</v>
      </c>
      <c r="F207" s="5" t="s">
        <v>16</v>
      </c>
      <c r="G207" s="5" t="s">
        <v>40</v>
      </c>
      <c r="H207" s="5" t="s">
        <v>472</v>
      </c>
      <c r="I207" s="5">
        <v>93395</v>
      </c>
      <c r="J207" s="5" t="s">
        <v>65</v>
      </c>
      <c r="K207" s="5" t="s">
        <v>659</v>
      </c>
      <c r="L207" s="5" t="s">
        <v>21</v>
      </c>
      <c r="M207" s="1">
        <f>VLOOKUP(Employees!A207,Performance!A206:E706,3,0)</f>
        <v>1</v>
      </c>
    </row>
    <row r="208" spans="1:13" x14ac:dyDescent="0.3">
      <c r="A208" s="4" t="s">
        <v>660</v>
      </c>
      <c r="B208" s="4" t="s">
        <v>13</v>
      </c>
      <c r="C208" s="4" t="s">
        <v>14</v>
      </c>
      <c r="D208" s="4" t="s">
        <v>15</v>
      </c>
      <c r="E208" s="4">
        <v>42</v>
      </c>
      <c r="F208" s="4" t="s">
        <v>31</v>
      </c>
      <c r="G208" s="4" t="s">
        <v>108</v>
      </c>
      <c r="H208" s="4" t="s">
        <v>661</v>
      </c>
      <c r="I208" s="4">
        <v>91944</v>
      </c>
      <c r="J208" s="4" t="s">
        <v>60</v>
      </c>
      <c r="K208" s="4" t="s">
        <v>662</v>
      </c>
      <c r="L208" s="4" t="s">
        <v>21</v>
      </c>
      <c r="M208" s="1">
        <f>VLOOKUP(Employees!A208,Performance!A207:E707,3,0)</f>
        <v>3</v>
      </c>
    </row>
    <row r="209" spans="1:13" x14ac:dyDescent="0.3">
      <c r="A209" s="5" t="s">
        <v>663</v>
      </c>
      <c r="B209" s="5" t="s">
        <v>71</v>
      </c>
      <c r="C209" s="5" t="s">
        <v>63</v>
      </c>
      <c r="D209" s="5" t="s">
        <v>24</v>
      </c>
      <c r="E209" s="5">
        <v>33</v>
      </c>
      <c r="F209" s="5" t="s">
        <v>39</v>
      </c>
      <c r="G209" s="5" t="s">
        <v>40</v>
      </c>
      <c r="H209" s="5" t="s">
        <v>664</v>
      </c>
      <c r="I209" s="5">
        <v>115357</v>
      </c>
      <c r="J209" s="5" t="s">
        <v>19</v>
      </c>
      <c r="K209" s="5" t="s">
        <v>665</v>
      </c>
      <c r="L209" s="5" t="s">
        <v>36</v>
      </c>
      <c r="M209" s="1">
        <f>VLOOKUP(Employees!A209,Performance!A208:E708,3,0)</f>
        <v>3</v>
      </c>
    </row>
    <row r="210" spans="1:13" x14ac:dyDescent="0.3">
      <c r="A210" s="4" t="s">
        <v>666</v>
      </c>
      <c r="B210" s="4" t="s">
        <v>30</v>
      </c>
      <c r="C210" s="4" t="s">
        <v>14</v>
      </c>
      <c r="D210" s="4" t="s">
        <v>15</v>
      </c>
      <c r="E210" s="4">
        <v>40</v>
      </c>
      <c r="F210" s="4" t="s">
        <v>16</v>
      </c>
      <c r="G210" s="4" t="s">
        <v>108</v>
      </c>
      <c r="H210" s="4" t="s">
        <v>633</v>
      </c>
      <c r="I210" s="4">
        <v>103876</v>
      </c>
      <c r="J210" s="4" t="s">
        <v>80</v>
      </c>
      <c r="K210" s="4" t="s">
        <v>667</v>
      </c>
      <c r="L210" s="4" t="s">
        <v>36</v>
      </c>
      <c r="M210" s="1">
        <f>VLOOKUP(Employees!A210,Performance!A209:E709,3,0)</f>
        <v>2</v>
      </c>
    </row>
    <row r="211" spans="1:13" x14ac:dyDescent="0.3">
      <c r="A211" s="5" t="s">
        <v>668</v>
      </c>
      <c r="B211" s="5" t="s">
        <v>38</v>
      </c>
      <c r="C211" s="5" t="s">
        <v>165</v>
      </c>
      <c r="D211" s="5" t="s">
        <v>15</v>
      </c>
      <c r="E211" s="5">
        <v>42</v>
      </c>
      <c r="F211" s="5" t="s">
        <v>16</v>
      </c>
      <c r="G211" s="5" t="s">
        <v>108</v>
      </c>
      <c r="H211" s="5" t="s">
        <v>669</v>
      </c>
      <c r="I211" s="5">
        <v>106174</v>
      </c>
      <c r="J211" s="5" t="s">
        <v>65</v>
      </c>
      <c r="K211" s="5" t="s">
        <v>670</v>
      </c>
      <c r="L211" s="5" t="s">
        <v>21</v>
      </c>
      <c r="M211" s="1">
        <f>VLOOKUP(Employees!A211,Performance!A210:E710,3,0)</f>
        <v>5</v>
      </c>
    </row>
    <row r="212" spans="1:13" x14ac:dyDescent="0.3">
      <c r="A212" s="4" t="s">
        <v>671</v>
      </c>
      <c r="B212" s="4" t="s">
        <v>94</v>
      </c>
      <c r="C212" s="4" t="s">
        <v>45</v>
      </c>
      <c r="D212" s="4" t="s">
        <v>15</v>
      </c>
      <c r="E212" s="4">
        <v>29</v>
      </c>
      <c r="F212" s="4" t="s">
        <v>31</v>
      </c>
      <c r="G212" s="4" t="s">
        <v>40</v>
      </c>
      <c r="H212" s="4" t="s">
        <v>672</v>
      </c>
      <c r="I212" s="4">
        <v>80612</v>
      </c>
      <c r="J212" s="4" t="s">
        <v>65</v>
      </c>
      <c r="K212" s="4" t="s">
        <v>673</v>
      </c>
      <c r="L212" s="4" t="s">
        <v>21</v>
      </c>
      <c r="M212" s="1">
        <f>VLOOKUP(Employees!A212,Performance!A211:E711,3,0)</f>
        <v>1</v>
      </c>
    </row>
    <row r="213" spans="1:13" x14ac:dyDescent="0.3">
      <c r="A213" s="5" t="s">
        <v>674</v>
      </c>
      <c r="B213" s="5" t="s">
        <v>143</v>
      </c>
      <c r="C213" s="5" t="s">
        <v>23</v>
      </c>
      <c r="D213" s="5" t="s">
        <v>15</v>
      </c>
      <c r="E213" s="5">
        <v>55</v>
      </c>
      <c r="F213" s="5" t="s">
        <v>31</v>
      </c>
      <c r="G213" s="5" t="s">
        <v>40</v>
      </c>
      <c r="H213" s="5" t="s">
        <v>675</v>
      </c>
      <c r="I213" s="5">
        <v>103478</v>
      </c>
      <c r="J213" s="5" t="s">
        <v>65</v>
      </c>
      <c r="K213" s="5" t="s">
        <v>676</v>
      </c>
      <c r="L213" s="5" t="s">
        <v>21</v>
      </c>
      <c r="M213" s="1">
        <f>VLOOKUP(Employees!A213,Performance!A212:E712,3,0)</f>
        <v>4</v>
      </c>
    </row>
    <row r="214" spans="1:13" x14ac:dyDescent="0.3">
      <c r="A214" s="4" t="s">
        <v>677</v>
      </c>
      <c r="B214" s="4" t="s">
        <v>30</v>
      </c>
      <c r="C214" s="4" t="s">
        <v>78</v>
      </c>
      <c r="D214" s="4" t="s">
        <v>15</v>
      </c>
      <c r="E214" s="4">
        <v>59</v>
      </c>
      <c r="F214" s="4" t="s">
        <v>16</v>
      </c>
      <c r="G214" s="4" t="s">
        <v>32</v>
      </c>
      <c r="H214" s="4" t="s">
        <v>678</v>
      </c>
      <c r="I214" s="4">
        <v>38205</v>
      </c>
      <c r="J214" s="4" t="s">
        <v>80</v>
      </c>
      <c r="K214" s="4" t="s">
        <v>679</v>
      </c>
      <c r="L214" s="4" t="s">
        <v>36</v>
      </c>
      <c r="M214" s="1">
        <f>VLOOKUP(Employees!A214,Performance!A213:E713,3,0)</f>
        <v>3</v>
      </c>
    </row>
    <row r="215" spans="1:13" x14ac:dyDescent="0.3">
      <c r="A215" s="5" t="s">
        <v>680</v>
      </c>
      <c r="B215" s="5" t="s">
        <v>49</v>
      </c>
      <c r="C215" s="5" t="s">
        <v>130</v>
      </c>
      <c r="D215" s="5" t="s">
        <v>15</v>
      </c>
      <c r="E215" s="5">
        <v>46</v>
      </c>
      <c r="F215" s="5" t="s">
        <v>25</v>
      </c>
      <c r="G215" s="5" t="s">
        <v>108</v>
      </c>
      <c r="H215" s="5" t="s">
        <v>681</v>
      </c>
      <c r="I215" s="5">
        <v>53141</v>
      </c>
      <c r="J215" s="5" t="s">
        <v>34</v>
      </c>
      <c r="K215" s="5" t="s">
        <v>682</v>
      </c>
      <c r="L215" s="5" t="s">
        <v>36</v>
      </c>
      <c r="M215" s="1">
        <f>VLOOKUP(Employees!A215,Performance!A214:E714,3,0)</f>
        <v>3</v>
      </c>
    </row>
    <row r="216" spans="1:13" x14ac:dyDescent="0.3">
      <c r="A216" s="4" t="s">
        <v>683</v>
      </c>
      <c r="B216" s="4" t="s">
        <v>38</v>
      </c>
      <c r="C216" s="4" t="s">
        <v>63</v>
      </c>
      <c r="D216" s="4" t="s">
        <v>24</v>
      </c>
      <c r="E216" s="4">
        <v>27</v>
      </c>
      <c r="F216" s="4" t="s">
        <v>25</v>
      </c>
      <c r="G216" s="4" t="s">
        <v>108</v>
      </c>
      <c r="H216" s="4" t="s">
        <v>684</v>
      </c>
      <c r="I216" s="4">
        <v>70180</v>
      </c>
      <c r="J216" s="4" t="s">
        <v>34</v>
      </c>
      <c r="K216" s="4" t="s">
        <v>685</v>
      </c>
      <c r="L216" s="4" t="s">
        <v>21</v>
      </c>
      <c r="M216" s="1">
        <f>VLOOKUP(Employees!A216,Performance!A215:E715,3,0)</f>
        <v>5</v>
      </c>
    </row>
    <row r="217" spans="1:13" x14ac:dyDescent="0.3">
      <c r="A217" s="5" t="s">
        <v>686</v>
      </c>
      <c r="B217" s="5" t="s">
        <v>38</v>
      </c>
      <c r="C217" s="5" t="s">
        <v>45</v>
      </c>
      <c r="D217" s="5" t="s">
        <v>15</v>
      </c>
      <c r="E217" s="5">
        <v>29</v>
      </c>
      <c r="F217" s="5" t="s">
        <v>50</v>
      </c>
      <c r="G217" s="5" t="s">
        <v>26</v>
      </c>
      <c r="H217" s="5" t="s">
        <v>687</v>
      </c>
      <c r="I217" s="5">
        <v>48946</v>
      </c>
      <c r="J217" s="5" t="s">
        <v>60</v>
      </c>
      <c r="K217" s="5" t="s">
        <v>688</v>
      </c>
      <c r="L217" s="5" t="s">
        <v>36</v>
      </c>
      <c r="M217" s="1">
        <f>VLOOKUP(Employees!A217,Performance!A216:E716,3,0)</f>
        <v>3</v>
      </c>
    </row>
    <row r="218" spans="1:13" x14ac:dyDescent="0.3">
      <c r="A218" s="4" t="s">
        <v>689</v>
      </c>
      <c r="B218" s="4" t="s">
        <v>94</v>
      </c>
      <c r="C218" s="4" t="s">
        <v>78</v>
      </c>
      <c r="D218" s="4" t="s">
        <v>24</v>
      </c>
      <c r="E218" s="4">
        <v>38</v>
      </c>
      <c r="F218" s="4" t="s">
        <v>31</v>
      </c>
      <c r="G218" s="4" t="s">
        <v>32</v>
      </c>
      <c r="H218" s="4" t="s">
        <v>178</v>
      </c>
      <c r="I218" s="4">
        <v>107342</v>
      </c>
      <c r="J218" s="4" t="s">
        <v>80</v>
      </c>
      <c r="K218" s="4" t="s">
        <v>690</v>
      </c>
      <c r="L218" s="4" t="s">
        <v>21</v>
      </c>
      <c r="M218" s="1">
        <f>VLOOKUP(Employees!A218,Performance!A217:E717,3,0)</f>
        <v>1</v>
      </c>
    </row>
    <row r="219" spans="1:13" x14ac:dyDescent="0.3">
      <c r="A219" s="5" t="s">
        <v>691</v>
      </c>
      <c r="B219" s="5" t="s">
        <v>30</v>
      </c>
      <c r="C219" s="5" t="s">
        <v>130</v>
      </c>
      <c r="D219" s="5" t="s">
        <v>24</v>
      </c>
      <c r="E219" s="5">
        <v>58</v>
      </c>
      <c r="F219" s="5" t="s">
        <v>31</v>
      </c>
      <c r="G219" s="5" t="s">
        <v>108</v>
      </c>
      <c r="H219" s="5" t="s">
        <v>692</v>
      </c>
      <c r="I219" s="5">
        <v>45973</v>
      </c>
      <c r="J219" s="5" t="s">
        <v>65</v>
      </c>
      <c r="K219" s="5" t="s">
        <v>693</v>
      </c>
      <c r="L219" s="5" t="s">
        <v>36</v>
      </c>
      <c r="M219" s="1">
        <f>VLOOKUP(Employees!A219,Performance!A218:E718,3,0)</f>
        <v>3</v>
      </c>
    </row>
    <row r="220" spans="1:13" x14ac:dyDescent="0.3">
      <c r="A220" s="4" t="s">
        <v>694</v>
      </c>
      <c r="B220" s="4" t="s">
        <v>38</v>
      </c>
      <c r="C220" s="4" t="s">
        <v>83</v>
      </c>
      <c r="D220" s="4" t="s">
        <v>15</v>
      </c>
      <c r="E220" s="4">
        <v>26</v>
      </c>
      <c r="F220" s="4" t="s">
        <v>39</v>
      </c>
      <c r="G220" s="4" t="s">
        <v>26</v>
      </c>
      <c r="H220" s="4" t="s">
        <v>695</v>
      </c>
      <c r="I220" s="4">
        <v>49800</v>
      </c>
      <c r="J220" s="4" t="s">
        <v>60</v>
      </c>
      <c r="K220" s="4" t="s">
        <v>696</v>
      </c>
      <c r="L220" s="4" t="s">
        <v>36</v>
      </c>
      <c r="M220" s="1">
        <f>VLOOKUP(Employees!A220,Performance!A219:E719,3,0)</f>
        <v>5</v>
      </c>
    </row>
    <row r="221" spans="1:13" x14ac:dyDescent="0.3">
      <c r="A221" s="5" t="s">
        <v>697</v>
      </c>
      <c r="B221" s="5" t="s">
        <v>143</v>
      </c>
      <c r="C221" s="5" t="s">
        <v>23</v>
      </c>
      <c r="D221" s="5" t="s">
        <v>24</v>
      </c>
      <c r="E221" s="5">
        <v>25</v>
      </c>
      <c r="F221" s="5" t="s">
        <v>50</v>
      </c>
      <c r="G221" s="5" t="s">
        <v>32</v>
      </c>
      <c r="H221" s="5" t="s">
        <v>424</v>
      </c>
      <c r="I221" s="5">
        <v>39237</v>
      </c>
      <c r="J221" s="5" t="s">
        <v>34</v>
      </c>
      <c r="K221" s="5" t="s">
        <v>698</v>
      </c>
      <c r="L221" s="5" t="s">
        <v>36</v>
      </c>
      <c r="M221" s="1">
        <f>VLOOKUP(Employees!A221,Performance!A220:E720,3,0)</f>
        <v>2</v>
      </c>
    </row>
    <row r="222" spans="1:13" x14ac:dyDescent="0.3">
      <c r="A222" s="4" t="s">
        <v>699</v>
      </c>
      <c r="B222" s="4" t="s">
        <v>13</v>
      </c>
      <c r="C222" s="4" t="s">
        <v>90</v>
      </c>
      <c r="D222" s="4" t="s">
        <v>15</v>
      </c>
      <c r="E222" s="4">
        <v>54</v>
      </c>
      <c r="F222" s="4" t="s">
        <v>39</v>
      </c>
      <c r="G222" s="4" t="s">
        <v>32</v>
      </c>
      <c r="H222" s="4" t="s">
        <v>618</v>
      </c>
      <c r="I222" s="4">
        <v>69777</v>
      </c>
      <c r="J222" s="4" t="s">
        <v>19</v>
      </c>
      <c r="K222" s="4" t="s">
        <v>700</v>
      </c>
      <c r="L222" s="4" t="s">
        <v>21</v>
      </c>
      <c r="M222" s="1">
        <f>VLOOKUP(Employees!A222,Performance!A221:E721,3,0)</f>
        <v>5</v>
      </c>
    </row>
    <row r="223" spans="1:13" x14ac:dyDescent="0.3">
      <c r="A223" s="5" t="s">
        <v>701</v>
      </c>
      <c r="B223" s="5" t="s">
        <v>13</v>
      </c>
      <c r="C223" s="5" t="s">
        <v>83</v>
      </c>
      <c r="D223" s="5" t="s">
        <v>24</v>
      </c>
      <c r="E223" s="5">
        <v>24</v>
      </c>
      <c r="F223" s="5" t="s">
        <v>50</v>
      </c>
      <c r="G223" s="5" t="s">
        <v>26</v>
      </c>
      <c r="H223" s="5" t="s">
        <v>702</v>
      </c>
      <c r="I223" s="5">
        <v>45012</v>
      </c>
      <c r="J223" s="5" t="s">
        <v>34</v>
      </c>
      <c r="K223" s="5" t="s">
        <v>703</v>
      </c>
      <c r="L223" s="5" t="s">
        <v>36</v>
      </c>
      <c r="M223" s="1">
        <f>VLOOKUP(Employees!A223,Performance!A222:E722,3,0)</f>
        <v>5</v>
      </c>
    </row>
    <row r="224" spans="1:13" x14ac:dyDescent="0.3">
      <c r="A224" s="4" t="s">
        <v>704</v>
      </c>
      <c r="B224" s="4" t="s">
        <v>58</v>
      </c>
      <c r="C224" s="4" t="s">
        <v>45</v>
      </c>
      <c r="D224" s="4" t="s">
        <v>24</v>
      </c>
      <c r="E224" s="4">
        <v>56</v>
      </c>
      <c r="F224" s="4" t="s">
        <v>50</v>
      </c>
      <c r="G224" s="4" t="s">
        <v>26</v>
      </c>
      <c r="H224" s="4" t="s">
        <v>705</v>
      </c>
      <c r="I224" s="4">
        <v>99157</v>
      </c>
      <c r="J224" s="4" t="s">
        <v>60</v>
      </c>
      <c r="K224" s="4" t="s">
        <v>706</v>
      </c>
      <c r="L224" s="4" t="s">
        <v>36</v>
      </c>
      <c r="M224" s="1">
        <f>VLOOKUP(Employees!A224,Performance!A223:E723,3,0)</f>
        <v>5</v>
      </c>
    </row>
    <row r="225" spans="1:13" x14ac:dyDescent="0.3">
      <c r="A225" s="5" t="s">
        <v>707</v>
      </c>
      <c r="B225" s="5" t="s">
        <v>58</v>
      </c>
      <c r="C225" s="5" t="s">
        <v>165</v>
      </c>
      <c r="D225" s="5" t="s">
        <v>24</v>
      </c>
      <c r="E225" s="5">
        <v>42</v>
      </c>
      <c r="F225" s="5" t="s">
        <v>39</v>
      </c>
      <c r="G225" s="5" t="s">
        <v>40</v>
      </c>
      <c r="H225" s="5" t="s">
        <v>708</v>
      </c>
      <c r="I225" s="5">
        <v>81470</v>
      </c>
      <c r="J225" s="5" t="s">
        <v>34</v>
      </c>
      <c r="K225" s="5" t="s">
        <v>709</v>
      </c>
      <c r="L225" s="5" t="s">
        <v>21</v>
      </c>
      <c r="M225" s="1">
        <f>VLOOKUP(Employees!A225,Performance!A224:E724,3,0)</f>
        <v>1</v>
      </c>
    </row>
    <row r="226" spans="1:13" x14ac:dyDescent="0.3">
      <c r="A226" s="4" t="s">
        <v>710</v>
      </c>
      <c r="B226" s="4" t="s">
        <v>38</v>
      </c>
      <c r="C226" s="4" t="s">
        <v>83</v>
      </c>
      <c r="D226" s="4" t="s">
        <v>24</v>
      </c>
      <c r="E226" s="4">
        <v>23</v>
      </c>
      <c r="F226" s="4" t="s">
        <v>31</v>
      </c>
      <c r="G226" s="4" t="s">
        <v>40</v>
      </c>
      <c r="H226" s="4" t="s">
        <v>711</v>
      </c>
      <c r="I226" s="4">
        <v>98738</v>
      </c>
      <c r="J226" s="4" t="s">
        <v>65</v>
      </c>
      <c r="K226" s="4" t="s">
        <v>712</v>
      </c>
      <c r="L226" s="4" t="s">
        <v>36</v>
      </c>
      <c r="M226" s="1">
        <f>VLOOKUP(Employees!A226,Performance!A225:E725,3,0)</f>
        <v>5</v>
      </c>
    </row>
    <row r="227" spans="1:13" x14ac:dyDescent="0.3">
      <c r="A227" s="5" t="s">
        <v>713</v>
      </c>
      <c r="B227" s="5" t="s">
        <v>30</v>
      </c>
      <c r="C227" s="5" t="s">
        <v>45</v>
      </c>
      <c r="D227" s="5" t="s">
        <v>15</v>
      </c>
      <c r="E227" s="5">
        <v>45</v>
      </c>
      <c r="F227" s="5" t="s">
        <v>25</v>
      </c>
      <c r="G227" s="5" t="s">
        <v>32</v>
      </c>
      <c r="H227" s="5" t="s">
        <v>714</v>
      </c>
      <c r="I227" s="5">
        <v>69768</v>
      </c>
      <c r="J227" s="5" t="s">
        <v>19</v>
      </c>
      <c r="K227" s="5" t="s">
        <v>715</v>
      </c>
      <c r="L227" s="5" t="s">
        <v>36</v>
      </c>
      <c r="M227" s="1">
        <f>VLOOKUP(Employees!A227,Performance!A226:E726,3,0)</f>
        <v>2</v>
      </c>
    </row>
    <row r="228" spans="1:13" x14ac:dyDescent="0.3">
      <c r="A228" s="4" t="s">
        <v>716</v>
      </c>
      <c r="B228" s="4" t="s">
        <v>94</v>
      </c>
      <c r="C228" s="4" t="s">
        <v>78</v>
      </c>
      <c r="D228" s="4" t="s">
        <v>24</v>
      </c>
      <c r="E228" s="4">
        <v>47</v>
      </c>
      <c r="F228" s="4" t="s">
        <v>39</v>
      </c>
      <c r="G228" s="4" t="s">
        <v>32</v>
      </c>
      <c r="H228" s="4" t="s">
        <v>717</v>
      </c>
      <c r="I228" s="4">
        <v>78816</v>
      </c>
      <c r="J228" s="4" t="s">
        <v>34</v>
      </c>
      <c r="K228" s="4" t="s">
        <v>718</v>
      </c>
      <c r="L228" s="4" t="s">
        <v>36</v>
      </c>
      <c r="M228" s="1">
        <f>VLOOKUP(Employees!A228,Performance!A227:E727,3,0)</f>
        <v>4</v>
      </c>
    </row>
    <row r="229" spans="1:13" x14ac:dyDescent="0.3">
      <c r="A229" s="5" t="s">
        <v>719</v>
      </c>
      <c r="B229" s="5" t="s">
        <v>143</v>
      </c>
      <c r="C229" s="5" t="s">
        <v>165</v>
      </c>
      <c r="D229" s="5" t="s">
        <v>24</v>
      </c>
      <c r="E229" s="5">
        <v>30</v>
      </c>
      <c r="F229" s="5" t="s">
        <v>31</v>
      </c>
      <c r="G229" s="5" t="s">
        <v>108</v>
      </c>
      <c r="H229" s="5" t="s">
        <v>720</v>
      </c>
      <c r="I229" s="5">
        <v>39186</v>
      </c>
      <c r="J229" s="5" t="s">
        <v>19</v>
      </c>
      <c r="K229" s="5" t="s">
        <v>721</v>
      </c>
      <c r="L229" s="5" t="s">
        <v>21</v>
      </c>
      <c r="M229" s="1">
        <f>VLOOKUP(Employees!A229,Performance!A228:E728,3,0)</f>
        <v>5</v>
      </c>
    </row>
    <row r="230" spans="1:13" x14ac:dyDescent="0.3">
      <c r="A230" s="4" t="s">
        <v>722</v>
      </c>
      <c r="B230" s="4" t="s">
        <v>44</v>
      </c>
      <c r="C230" s="4" t="s">
        <v>165</v>
      </c>
      <c r="D230" s="4" t="s">
        <v>15</v>
      </c>
      <c r="E230" s="4">
        <v>57</v>
      </c>
      <c r="F230" s="4" t="s">
        <v>16</v>
      </c>
      <c r="G230" s="4" t="s">
        <v>40</v>
      </c>
      <c r="H230" s="4" t="s">
        <v>723</v>
      </c>
      <c r="I230" s="4">
        <v>90363</v>
      </c>
      <c r="J230" s="4" t="s">
        <v>60</v>
      </c>
      <c r="K230" s="4" t="s">
        <v>724</v>
      </c>
      <c r="L230" s="4" t="s">
        <v>36</v>
      </c>
      <c r="M230" s="1">
        <f>VLOOKUP(Employees!A230,Performance!A229:E729,3,0)</f>
        <v>4</v>
      </c>
    </row>
    <row r="231" spans="1:13" x14ac:dyDescent="0.3">
      <c r="A231" s="5" t="s">
        <v>725</v>
      </c>
      <c r="B231" s="5" t="s">
        <v>38</v>
      </c>
      <c r="C231" s="5" t="s">
        <v>78</v>
      </c>
      <c r="D231" s="5" t="s">
        <v>15</v>
      </c>
      <c r="E231" s="5">
        <v>56</v>
      </c>
      <c r="F231" s="5" t="s">
        <v>16</v>
      </c>
      <c r="G231" s="5" t="s">
        <v>26</v>
      </c>
      <c r="H231" s="5" t="s">
        <v>726</v>
      </c>
      <c r="I231" s="5">
        <v>86374</v>
      </c>
      <c r="J231" s="5" t="s">
        <v>19</v>
      </c>
      <c r="K231" s="5" t="s">
        <v>727</v>
      </c>
      <c r="L231" s="5" t="s">
        <v>36</v>
      </c>
      <c r="M231" s="1">
        <f>VLOOKUP(Employees!A231,Performance!A230:E730,3,0)</f>
        <v>5</v>
      </c>
    </row>
    <row r="232" spans="1:13" x14ac:dyDescent="0.3">
      <c r="A232" s="4" t="s">
        <v>728</v>
      </c>
      <c r="B232" s="4" t="s">
        <v>94</v>
      </c>
      <c r="C232" s="4" t="s">
        <v>23</v>
      </c>
      <c r="D232" s="4" t="s">
        <v>15</v>
      </c>
      <c r="E232" s="4">
        <v>28</v>
      </c>
      <c r="F232" s="4" t="s">
        <v>25</v>
      </c>
      <c r="G232" s="4" t="s">
        <v>108</v>
      </c>
      <c r="H232" s="4" t="s">
        <v>729</v>
      </c>
      <c r="I232" s="4">
        <v>51057</v>
      </c>
      <c r="J232" s="4" t="s">
        <v>34</v>
      </c>
      <c r="K232" s="4" t="s">
        <v>730</v>
      </c>
      <c r="L232" s="4" t="s">
        <v>21</v>
      </c>
      <c r="M232" s="1">
        <f>VLOOKUP(Employees!A232,Performance!A231:E731,3,0)</f>
        <v>2</v>
      </c>
    </row>
    <row r="233" spans="1:13" x14ac:dyDescent="0.3">
      <c r="A233" s="5" t="s">
        <v>731</v>
      </c>
      <c r="B233" s="5" t="s">
        <v>13</v>
      </c>
      <c r="C233" s="5" t="s">
        <v>83</v>
      </c>
      <c r="D233" s="5" t="s">
        <v>15</v>
      </c>
      <c r="E233" s="5">
        <v>55</v>
      </c>
      <c r="F233" s="5" t="s">
        <v>50</v>
      </c>
      <c r="G233" s="5" t="s">
        <v>17</v>
      </c>
      <c r="H233" s="5" t="s">
        <v>732</v>
      </c>
      <c r="I233" s="5">
        <v>94146</v>
      </c>
      <c r="J233" s="5" t="s">
        <v>60</v>
      </c>
      <c r="K233" s="5" t="s">
        <v>733</v>
      </c>
      <c r="L233" s="5" t="s">
        <v>36</v>
      </c>
      <c r="M233" s="1">
        <f>VLOOKUP(Employees!A233,Performance!A232:E732,3,0)</f>
        <v>2</v>
      </c>
    </row>
    <row r="234" spans="1:13" x14ac:dyDescent="0.3">
      <c r="A234" s="4" t="s">
        <v>734</v>
      </c>
      <c r="B234" s="4" t="s">
        <v>38</v>
      </c>
      <c r="C234" s="4" t="s">
        <v>14</v>
      </c>
      <c r="D234" s="4" t="s">
        <v>24</v>
      </c>
      <c r="E234" s="4">
        <v>33</v>
      </c>
      <c r="F234" s="4" t="s">
        <v>50</v>
      </c>
      <c r="G234" s="4" t="s">
        <v>108</v>
      </c>
      <c r="H234" s="4" t="s">
        <v>735</v>
      </c>
      <c r="I234" s="4">
        <v>102836</v>
      </c>
      <c r="J234" s="4" t="s">
        <v>60</v>
      </c>
      <c r="K234" s="4" t="s">
        <v>736</v>
      </c>
      <c r="L234" s="4" t="s">
        <v>21</v>
      </c>
      <c r="M234" s="1">
        <f>VLOOKUP(Employees!A234,Performance!A233:E733,3,0)</f>
        <v>2</v>
      </c>
    </row>
    <row r="235" spans="1:13" x14ac:dyDescent="0.3">
      <c r="A235" s="5" t="s">
        <v>737</v>
      </c>
      <c r="B235" s="5" t="s">
        <v>94</v>
      </c>
      <c r="C235" s="5" t="s">
        <v>23</v>
      </c>
      <c r="D235" s="5" t="s">
        <v>24</v>
      </c>
      <c r="E235" s="5">
        <v>28</v>
      </c>
      <c r="F235" s="5" t="s">
        <v>50</v>
      </c>
      <c r="G235" s="5" t="s">
        <v>26</v>
      </c>
      <c r="H235" s="5" t="s">
        <v>738</v>
      </c>
      <c r="I235" s="5">
        <v>56052</v>
      </c>
      <c r="J235" s="5" t="s">
        <v>65</v>
      </c>
      <c r="K235" s="5" t="s">
        <v>739</v>
      </c>
      <c r="L235" s="5" t="s">
        <v>36</v>
      </c>
      <c r="M235" s="1">
        <f>VLOOKUP(Employees!A235,Performance!A234:E734,3,0)</f>
        <v>4</v>
      </c>
    </row>
    <row r="236" spans="1:13" x14ac:dyDescent="0.3">
      <c r="A236" s="4" t="s">
        <v>740</v>
      </c>
      <c r="B236" s="4" t="s">
        <v>44</v>
      </c>
      <c r="C236" s="4" t="s">
        <v>45</v>
      </c>
      <c r="D236" s="4" t="s">
        <v>15</v>
      </c>
      <c r="E236" s="4">
        <v>56</v>
      </c>
      <c r="F236" s="4" t="s">
        <v>25</v>
      </c>
      <c r="G236" s="4" t="s">
        <v>108</v>
      </c>
      <c r="H236" s="4" t="s">
        <v>741</v>
      </c>
      <c r="I236" s="4">
        <v>106491</v>
      </c>
      <c r="J236" s="4" t="s">
        <v>19</v>
      </c>
      <c r="K236" s="4" t="s">
        <v>742</v>
      </c>
      <c r="L236" s="4" t="s">
        <v>36</v>
      </c>
      <c r="M236" s="1">
        <f>VLOOKUP(Employees!A236,Performance!A235:E735,3,0)</f>
        <v>5</v>
      </c>
    </row>
    <row r="237" spans="1:13" x14ac:dyDescent="0.3">
      <c r="A237" s="5" t="s">
        <v>743</v>
      </c>
      <c r="B237" s="5" t="s">
        <v>58</v>
      </c>
      <c r="C237" s="5" t="s">
        <v>165</v>
      </c>
      <c r="D237" s="5" t="s">
        <v>24</v>
      </c>
      <c r="E237" s="5">
        <v>48</v>
      </c>
      <c r="F237" s="5" t="s">
        <v>31</v>
      </c>
      <c r="G237" s="5" t="s">
        <v>108</v>
      </c>
      <c r="H237" s="5" t="s">
        <v>744</v>
      </c>
      <c r="I237" s="5">
        <v>36633</v>
      </c>
      <c r="J237" s="5" t="s">
        <v>60</v>
      </c>
      <c r="K237" s="5" t="s">
        <v>745</v>
      </c>
      <c r="L237" s="5" t="s">
        <v>36</v>
      </c>
      <c r="M237" s="1">
        <f>VLOOKUP(Employees!A237,Performance!A236:E736,3,0)</f>
        <v>4</v>
      </c>
    </row>
    <row r="238" spans="1:13" x14ac:dyDescent="0.3">
      <c r="A238" s="4" t="s">
        <v>746</v>
      </c>
      <c r="B238" s="4" t="s">
        <v>30</v>
      </c>
      <c r="C238" s="4" t="s">
        <v>45</v>
      </c>
      <c r="D238" s="4" t="s">
        <v>15</v>
      </c>
      <c r="E238" s="4">
        <v>50</v>
      </c>
      <c r="F238" s="4" t="s">
        <v>25</v>
      </c>
      <c r="G238" s="4" t="s">
        <v>26</v>
      </c>
      <c r="H238" s="4" t="s">
        <v>747</v>
      </c>
      <c r="I238" s="4">
        <v>109744</v>
      </c>
      <c r="J238" s="4" t="s">
        <v>19</v>
      </c>
      <c r="K238" s="4" t="s">
        <v>748</v>
      </c>
      <c r="L238" s="4" t="s">
        <v>36</v>
      </c>
      <c r="M238" s="1">
        <f>VLOOKUP(Employees!A238,Performance!A237:E737,3,0)</f>
        <v>4</v>
      </c>
    </row>
    <row r="239" spans="1:13" x14ac:dyDescent="0.3">
      <c r="A239" s="5" t="s">
        <v>749</v>
      </c>
      <c r="B239" s="5" t="s">
        <v>13</v>
      </c>
      <c r="C239" s="5" t="s">
        <v>165</v>
      </c>
      <c r="D239" s="5" t="s">
        <v>15</v>
      </c>
      <c r="E239" s="5">
        <v>57</v>
      </c>
      <c r="F239" s="5" t="s">
        <v>31</v>
      </c>
      <c r="G239" s="5" t="s">
        <v>40</v>
      </c>
      <c r="H239" s="5" t="s">
        <v>750</v>
      </c>
      <c r="I239" s="5">
        <v>44217</v>
      </c>
      <c r="J239" s="5" t="s">
        <v>19</v>
      </c>
      <c r="K239" s="5" t="s">
        <v>751</v>
      </c>
      <c r="L239" s="5" t="s">
        <v>36</v>
      </c>
      <c r="M239" s="1">
        <f>VLOOKUP(Employees!A239,Performance!A238:E738,3,0)</f>
        <v>4</v>
      </c>
    </row>
    <row r="240" spans="1:13" x14ac:dyDescent="0.3">
      <c r="A240" s="4" t="s">
        <v>752</v>
      </c>
      <c r="B240" s="4" t="s">
        <v>143</v>
      </c>
      <c r="C240" s="4" t="s">
        <v>90</v>
      </c>
      <c r="D240" s="4" t="s">
        <v>24</v>
      </c>
      <c r="E240" s="4">
        <v>28</v>
      </c>
      <c r="F240" s="4" t="s">
        <v>50</v>
      </c>
      <c r="G240" s="4" t="s">
        <v>17</v>
      </c>
      <c r="H240" s="4" t="s">
        <v>753</v>
      </c>
      <c r="I240" s="4">
        <v>40758</v>
      </c>
      <c r="J240" s="4" t="s">
        <v>80</v>
      </c>
      <c r="K240" s="4" t="s">
        <v>754</v>
      </c>
      <c r="L240" s="4" t="s">
        <v>21</v>
      </c>
      <c r="M240" s="1">
        <f>VLOOKUP(Employees!A240,Performance!A239:E739,3,0)</f>
        <v>2</v>
      </c>
    </row>
    <row r="241" spans="1:13" x14ac:dyDescent="0.3">
      <c r="A241" s="5" t="s">
        <v>755</v>
      </c>
      <c r="B241" s="5" t="s">
        <v>30</v>
      </c>
      <c r="C241" s="5" t="s">
        <v>95</v>
      </c>
      <c r="D241" s="5" t="s">
        <v>15</v>
      </c>
      <c r="E241" s="5">
        <v>59</v>
      </c>
      <c r="F241" s="5" t="s">
        <v>50</v>
      </c>
      <c r="G241" s="5" t="s">
        <v>40</v>
      </c>
      <c r="H241" s="5" t="s">
        <v>756</v>
      </c>
      <c r="I241" s="5">
        <v>49878</v>
      </c>
      <c r="J241" s="5" t="s">
        <v>65</v>
      </c>
      <c r="K241" s="5" t="s">
        <v>757</v>
      </c>
      <c r="L241" s="5" t="s">
        <v>21</v>
      </c>
      <c r="M241" s="1">
        <f>VLOOKUP(Employees!A241,Performance!A240:E740,3,0)</f>
        <v>2</v>
      </c>
    </row>
    <row r="242" spans="1:13" x14ac:dyDescent="0.3">
      <c r="A242" s="4" t="s">
        <v>758</v>
      </c>
      <c r="B242" s="4" t="s">
        <v>54</v>
      </c>
      <c r="C242" s="4" t="s">
        <v>130</v>
      </c>
      <c r="D242" s="4" t="s">
        <v>15</v>
      </c>
      <c r="E242" s="4">
        <v>48</v>
      </c>
      <c r="F242" s="4" t="s">
        <v>31</v>
      </c>
      <c r="G242" s="4" t="s">
        <v>108</v>
      </c>
      <c r="H242" s="4" t="s">
        <v>759</v>
      </c>
      <c r="I242" s="4">
        <v>95831</v>
      </c>
      <c r="J242" s="4" t="s">
        <v>60</v>
      </c>
      <c r="K242" s="4" t="s">
        <v>760</v>
      </c>
      <c r="L242" s="4" t="s">
        <v>36</v>
      </c>
      <c r="M242" s="1">
        <f>VLOOKUP(Employees!A242,Performance!A241:E741,3,0)</f>
        <v>2</v>
      </c>
    </row>
    <row r="243" spans="1:13" x14ac:dyDescent="0.3">
      <c r="A243" s="5" t="s">
        <v>761</v>
      </c>
      <c r="B243" s="5" t="s">
        <v>94</v>
      </c>
      <c r="C243" s="5" t="s">
        <v>14</v>
      </c>
      <c r="D243" s="5" t="s">
        <v>15</v>
      </c>
      <c r="E243" s="5">
        <v>22</v>
      </c>
      <c r="F243" s="5" t="s">
        <v>25</v>
      </c>
      <c r="G243" s="5" t="s">
        <v>26</v>
      </c>
      <c r="H243" s="5" t="s">
        <v>762</v>
      </c>
      <c r="I243" s="5">
        <v>106015</v>
      </c>
      <c r="J243" s="5" t="s">
        <v>19</v>
      </c>
      <c r="K243" s="5" t="s">
        <v>763</v>
      </c>
      <c r="L243" s="5" t="s">
        <v>21</v>
      </c>
      <c r="M243" s="1">
        <f>VLOOKUP(Employees!A243,Performance!A242:E742,3,0)</f>
        <v>2</v>
      </c>
    </row>
    <row r="244" spans="1:13" x14ac:dyDescent="0.3">
      <c r="A244" s="4" t="s">
        <v>764</v>
      </c>
      <c r="B244" s="4" t="s">
        <v>38</v>
      </c>
      <c r="C244" s="4" t="s">
        <v>45</v>
      </c>
      <c r="D244" s="4" t="s">
        <v>15</v>
      </c>
      <c r="E244" s="4">
        <v>28</v>
      </c>
      <c r="F244" s="4" t="s">
        <v>16</v>
      </c>
      <c r="G244" s="4" t="s">
        <v>17</v>
      </c>
      <c r="H244" s="4" t="s">
        <v>765</v>
      </c>
      <c r="I244" s="4">
        <v>100388</v>
      </c>
      <c r="J244" s="4" t="s">
        <v>80</v>
      </c>
      <c r="K244" s="4" t="s">
        <v>766</v>
      </c>
      <c r="L244" s="4" t="s">
        <v>21</v>
      </c>
      <c r="M244" s="1">
        <f>VLOOKUP(Employees!A244,Performance!A243:E743,3,0)</f>
        <v>1</v>
      </c>
    </row>
    <row r="245" spans="1:13" x14ac:dyDescent="0.3">
      <c r="A245" s="5" t="s">
        <v>767</v>
      </c>
      <c r="B245" s="5" t="s">
        <v>30</v>
      </c>
      <c r="C245" s="5" t="s">
        <v>90</v>
      </c>
      <c r="D245" s="5" t="s">
        <v>24</v>
      </c>
      <c r="E245" s="5">
        <v>47</v>
      </c>
      <c r="F245" s="5" t="s">
        <v>39</v>
      </c>
      <c r="G245" s="5" t="s">
        <v>26</v>
      </c>
      <c r="H245" s="5" t="s">
        <v>166</v>
      </c>
      <c r="I245" s="5">
        <v>60932</v>
      </c>
      <c r="J245" s="5" t="s">
        <v>80</v>
      </c>
      <c r="K245" s="5" t="s">
        <v>768</v>
      </c>
      <c r="L245" s="5" t="s">
        <v>36</v>
      </c>
      <c r="M245" s="1">
        <f>VLOOKUP(Employees!A245,Performance!A244:E744,3,0)</f>
        <v>4</v>
      </c>
    </row>
    <row r="246" spans="1:13" x14ac:dyDescent="0.3">
      <c r="A246" s="4" t="s">
        <v>769</v>
      </c>
      <c r="B246" s="4" t="s">
        <v>49</v>
      </c>
      <c r="C246" s="4" t="s">
        <v>83</v>
      </c>
      <c r="D246" s="4" t="s">
        <v>15</v>
      </c>
      <c r="E246" s="4">
        <v>36</v>
      </c>
      <c r="F246" s="4" t="s">
        <v>39</v>
      </c>
      <c r="G246" s="4" t="s">
        <v>32</v>
      </c>
      <c r="H246" s="4" t="s">
        <v>436</v>
      </c>
      <c r="I246" s="4">
        <v>107818</v>
      </c>
      <c r="J246" s="4" t="s">
        <v>34</v>
      </c>
      <c r="K246" s="4" t="s">
        <v>770</v>
      </c>
      <c r="L246" s="4" t="s">
        <v>21</v>
      </c>
      <c r="M246" s="1">
        <f>VLOOKUP(Employees!A246,Performance!A245:E745,3,0)</f>
        <v>1</v>
      </c>
    </row>
    <row r="247" spans="1:13" x14ac:dyDescent="0.3">
      <c r="A247" s="5" t="s">
        <v>771</v>
      </c>
      <c r="B247" s="5" t="s">
        <v>13</v>
      </c>
      <c r="C247" s="5" t="s">
        <v>45</v>
      </c>
      <c r="D247" s="5" t="s">
        <v>24</v>
      </c>
      <c r="E247" s="5">
        <v>49</v>
      </c>
      <c r="F247" s="5" t="s">
        <v>50</v>
      </c>
      <c r="G247" s="5" t="s">
        <v>32</v>
      </c>
      <c r="H247" s="5" t="s">
        <v>772</v>
      </c>
      <c r="I247" s="5">
        <v>95198</v>
      </c>
      <c r="J247" s="5" t="s">
        <v>34</v>
      </c>
      <c r="K247" s="5" t="s">
        <v>773</v>
      </c>
      <c r="L247" s="5" t="s">
        <v>21</v>
      </c>
      <c r="M247" s="1">
        <f>VLOOKUP(Employees!A247,Performance!A246:E746,3,0)</f>
        <v>4</v>
      </c>
    </row>
    <row r="248" spans="1:13" x14ac:dyDescent="0.3">
      <c r="A248" s="4" t="s">
        <v>774</v>
      </c>
      <c r="B248" s="4" t="s">
        <v>143</v>
      </c>
      <c r="C248" s="4" t="s">
        <v>130</v>
      </c>
      <c r="D248" s="4" t="s">
        <v>15</v>
      </c>
      <c r="E248" s="4">
        <v>43</v>
      </c>
      <c r="F248" s="4" t="s">
        <v>25</v>
      </c>
      <c r="G248" s="4" t="s">
        <v>40</v>
      </c>
      <c r="H248" s="4" t="s">
        <v>775</v>
      </c>
      <c r="I248" s="4">
        <v>42635</v>
      </c>
      <c r="J248" s="4" t="s">
        <v>19</v>
      </c>
      <c r="K248" s="4" t="s">
        <v>776</v>
      </c>
      <c r="L248" s="4" t="s">
        <v>21</v>
      </c>
      <c r="M248" s="1">
        <f>VLOOKUP(Employees!A248,Performance!A247:E747,3,0)</f>
        <v>3</v>
      </c>
    </row>
    <row r="249" spans="1:13" x14ac:dyDescent="0.3">
      <c r="A249" s="5" t="s">
        <v>777</v>
      </c>
      <c r="B249" s="5" t="s">
        <v>44</v>
      </c>
      <c r="C249" s="5" t="s">
        <v>14</v>
      </c>
      <c r="D249" s="5" t="s">
        <v>15</v>
      </c>
      <c r="E249" s="5">
        <v>48</v>
      </c>
      <c r="F249" s="5" t="s">
        <v>16</v>
      </c>
      <c r="G249" s="5" t="s">
        <v>32</v>
      </c>
      <c r="H249" s="5" t="s">
        <v>778</v>
      </c>
      <c r="I249" s="5">
        <v>48738</v>
      </c>
      <c r="J249" s="5" t="s">
        <v>60</v>
      </c>
      <c r="K249" s="5" t="s">
        <v>779</v>
      </c>
      <c r="L249" s="5" t="s">
        <v>21</v>
      </c>
      <c r="M249" s="1">
        <f>VLOOKUP(Employees!A249,Performance!A248:E748,3,0)</f>
        <v>5</v>
      </c>
    </row>
    <row r="250" spans="1:13" x14ac:dyDescent="0.3">
      <c r="A250" s="4" t="s">
        <v>780</v>
      </c>
      <c r="B250" s="4" t="s">
        <v>44</v>
      </c>
      <c r="C250" s="4" t="s">
        <v>63</v>
      </c>
      <c r="D250" s="4" t="s">
        <v>15</v>
      </c>
      <c r="E250" s="4">
        <v>23</v>
      </c>
      <c r="F250" s="4" t="s">
        <v>16</v>
      </c>
      <c r="G250" s="4" t="s">
        <v>17</v>
      </c>
      <c r="H250" s="4" t="s">
        <v>365</v>
      </c>
      <c r="I250" s="4">
        <v>64435</v>
      </c>
      <c r="J250" s="4" t="s">
        <v>80</v>
      </c>
      <c r="K250" s="4" t="s">
        <v>781</v>
      </c>
      <c r="L250" s="4" t="s">
        <v>21</v>
      </c>
      <c r="M250" s="1">
        <f>VLOOKUP(Employees!A250,Performance!A249:E749,3,0)</f>
        <v>5</v>
      </c>
    </row>
    <row r="251" spans="1:13" x14ac:dyDescent="0.3">
      <c r="A251" s="5" t="s">
        <v>782</v>
      </c>
      <c r="B251" s="5" t="s">
        <v>71</v>
      </c>
      <c r="C251" s="5" t="s">
        <v>23</v>
      </c>
      <c r="D251" s="5" t="s">
        <v>24</v>
      </c>
      <c r="E251" s="5">
        <v>55</v>
      </c>
      <c r="F251" s="5" t="s">
        <v>16</v>
      </c>
      <c r="G251" s="5" t="s">
        <v>17</v>
      </c>
      <c r="H251" s="5" t="s">
        <v>783</v>
      </c>
      <c r="I251" s="5">
        <v>116007</v>
      </c>
      <c r="J251" s="5" t="s">
        <v>65</v>
      </c>
      <c r="K251" s="5" t="s">
        <v>784</v>
      </c>
      <c r="L251" s="5" t="s">
        <v>21</v>
      </c>
      <c r="M251" s="1">
        <f>VLOOKUP(Employees!A251,Performance!A250:E750,3,0)</f>
        <v>5</v>
      </c>
    </row>
    <row r="252" spans="1:13" x14ac:dyDescent="0.3">
      <c r="A252" s="4" t="s">
        <v>785</v>
      </c>
      <c r="B252" s="4" t="s">
        <v>49</v>
      </c>
      <c r="C252" s="4" t="s">
        <v>90</v>
      </c>
      <c r="D252" s="4" t="s">
        <v>24</v>
      </c>
      <c r="E252" s="4">
        <v>38</v>
      </c>
      <c r="F252" s="4" t="s">
        <v>25</v>
      </c>
      <c r="G252" s="4" t="s">
        <v>26</v>
      </c>
      <c r="H252" s="4" t="s">
        <v>786</v>
      </c>
      <c r="I252" s="4">
        <v>60256</v>
      </c>
      <c r="J252" s="4" t="s">
        <v>60</v>
      </c>
      <c r="K252" s="4" t="s">
        <v>787</v>
      </c>
      <c r="L252" s="4" t="s">
        <v>21</v>
      </c>
      <c r="M252" s="1">
        <f>VLOOKUP(Employees!A252,Performance!A251:E751,3,0)</f>
        <v>4</v>
      </c>
    </row>
    <row r="253" spans="1:13" x14ac:dyDescent="0.3">
      <c r="A253" s="5" t="s">
        <v>788</v>
      </c>
      <c r="B253" s="5" t="s">
        <v>54</v>
      </c>
      <c r="C253" s="5" t="s">
        <v>165</v>
      </c>
      <c r="D253" s="5" t="s">
        <v>15</v>
      </c>
      <c r="E253" s="5">
        <v>52</v>
      </c>
      <c r="F253" s="5" t="s">
        <v>31</v>
      </c>
      <c r="G253" s="5" t="s">
        <v>40</v>
      </c>
      <c r="H253" s="5" t="s">
        <v>124</v>
      </c>
      <c r="I253" s="5">
        <v>79852</v>
      </c>
      <c r="J253" s="5" t="s">
        <v>34</v>
      </c>
      <c r="K253" s="5" t="s">
        <v>789</v>
      </c>
      <c r="L253" s="5" t="s">
        <v>36</v>
      </c>
      <c r="M253" s="1">
        <f>VLOOKUP(Employees!A253,Performance!A252:E752,3,0)</f>
        <v>3</v>
      </c>
    </row>
    <row r="254" spans="1:13" x14ac:dyDescent="0.3">
      <c r="A254" s="4" t="s">
        <v>790</v>
      </c>
      <c r="B254" s="4" t="s">
        <v>38</v>
      </c>
      <c r="C254" s="4" t="s">
        <v>95</v>
      </c>
      <c r="D254" s="4" t="s">
        <v>24</v>
      </c>
      <c r="E254" s="4">
        <v>25</v>
      </c>
      <c r="F254" s="4" t="s">
        <v>39</v>
      </c>
      <c r="G254" s="4" t="s">
        <v>26</v>
      </c>
      <c r="H254" s="4" t="s">
        <v>791</v>
      </c>
      <c r="I254" s="4">
        <v>94875</v>
      </c>
      <c r="J254" s="4" t="s">
        <v>60</v>
      </c>
      <c r="K254" s="4" t="s">
        <v>792</v>
      </c>
      <c r="L254" s="4" t="s">
        <v>21</v>
      </c>
      <c r="M254" s="1">
        <f>VLOOKUP(Employees!A254,Performance!A253:E753,3,0)</f>
        <v>1</v>
      </c>
    </row>
    <row r="255" spans="1:13" x14ac:dyDescent="0.3">
      <c r="A255" s="5" t="s">
        <v>793</v>
      </c>
      <c r="B255" s="5" t="s">
        <v>38</v>
      </c>
      <c r="C255" s="5" t="s">
        <v>45</v>
      </c>
      <c r="D255" s="5" t="s">
        <v>15</v>
      </c>
      <c r="E255" s="5">
        <v>42</v>
      </c>
      <c r="F255" s="5" t="s">
        <v>25</v>
      </c>
      <c r="G255" s="5" t="s">
        <v>32</v>
      </c>
      <c r="H255" s="5" t="s">
        <v>794</v>
      </c>
      <c r="I255" s="5">
        <v>43197</v>
      </c>
      <c r="J255" s="5" t="s">
        <v>19</v>
      </c>
      <c r="K255" s="5" t="s">
        <v>795</v>
      </c>
      <c r="L255" s="5" t="s">
        <v>36</v>
      </c>
      <c r="M255" s="1">
        <f>VLOOKUP(Employees!A255,Performance!A254:E754,3,0)</f>
        <v>5</v>
      </c>
    </row>
    <row r="256" spans="1:13" x14ac:dyDescent="0.3">
      <c r="A256" s="4" t="s">
        <v>796</v>
      </c>
      <c r="B256" s="4" t="s">
        <v>49</v>
      </c>
      <c r="C256" s="4" t="s">
        <v>90</v>
      </c>
      <c r="D256" s="4" t="s">
        <v>24</v>
      </c>
      <c r="E256" s="4">
        <v>32</v>
      </c>
      <c r="F256" s="4" t="s">
        <v>50</v>
      </c>
      <c r="G256" s="4" t="s">
        <v>40</v>
      </c>
      <c r="H256" s="4" t="s">
        <v>797</v>
      </c>
      <c r="I256" s="4">
        <v>117451</v>
      </c>
      <c r="J256" s="4" t="s">
        <v>65</v>
      </c>
      <c r="K256" s="4" t="s">
        <v>798</v>
      </c>
      <c r="L256" s="4" t="s">
        <v>21</v>
      </c>
      <c r="M256" s="1">
        <f>VLOOKUP(Employees!A256,Performance!A255:E755,3,0)</f>
        <v>1</v>
      </c>
    </row>
    <row r="257" spans="1:13" x14ac:dyDescent="0.3">
      <c r="A257" s="5" t="s">
        <v>799</v>
      </c>
      <c r="B257" s="5" t="s">
        <v>143</v>
      </c>
      <c r="C257" s="5" t="s">
        <v>130</v>
      </c>
      <c r="D257" s="5" t="s">
        <v>24</v>
      </c>
      <c r="E257" s="5">
        <v>28</v>
      </c>
      <c r="F257" s="5" t="s">
        <v>39</v>
      </c>
      <c r="G257" s="5" t="s">
        <v>40</v>
      </c>
      <c r="H257" s="5" t="s">
        <v>800</v>
      </c>
      <c r="I257" s="5">
        <v>54493</v>
      </c>
      <c r="J257" s="5" t="s">
        <v>65</v>
      </c>
      <c r="K257" s="5" t="s">
        <v>801</v>
      </c>
      <c r="L257" s="5" t="s">
        <v>21</v>
      </c>
      <c r="M257" s="1">
        <f>VLOOKUP(Employees!A257,Performance!A256:E756,3,0)</f>
        <v>4</v>
      </c>
    </row>
    <row r="258" spans="1:13" x14ac:dyDescent="0.3">
      <c r="A258" s="4" t="s">
        <v>802</v>
      </c>
      <c r="B258" s="4" t="s">
        <v>143</v>
      </c>
      <c r="C258" s="4" t="s">
        <v>78</v>
      </c>
      <c r="D258" s="4" t="s">
        <v>15</v>
      </c>
      <c r="E258" s="4">
        <v>55</v>
      </c>
      <c r="F258" s="4" t="s">
        <v>39</v>
      </c>
      <c r="G258" s="4" t="s">
        <v>32</v>
      </c>
      <c r="H258" s="4" t="s">
        <v>803</v>
      </c>
      <c r="I258" s="4">
        <v>68822</v>
      </c>
      <c r="J258" s="4" t="s">
        <v>34</v>
      </c>
      <c r="K258" s="4" t="s">
        <v>804</v>
      </c>
      <c r="L258" s="4" t="s">
        <v>36</v>
      </c>
      <c r="M258" s="1">
        <f>VLOOKUP(Employees!A258,Performance!A257:E757,3,0)</f>
        <v>3</v>
      </c>
    </row>
    <row r="259" spans="1:13" x14ac:dyDescent="0.3">
      <c r="A259" s="5" t="s">
        <v>805</v>
      </c>
      <c r="B259" s="5" t="s">
        <v>44</v>
      </c>
      <c r="C259" s="5" t="s">
        <v>95</v>
      </c>
      <c r="D259" s="5" t="s">
        <v>24</v>
      </c>
      <c r="E259" s="5">
        <v>27</v>
      </c>
      <c r="F259" s="5" t="s">
        <v>50</v>
      </c>
      <c r="G259" s="5" t="s">
        <v>26</v>
      </c>
      <c r="H259" s="5" t="s">
        <v>806</v>
      </c>
      <c r="I259" s="5">
        <v>96058</v>
      </c>
      <c r="J259" s="5" t="s">
        <v>19</v>
      </c>
      <c r="K259" s="5" t="s">
        <v>807</v>
      </c>
      <c r="L259" s="5" t="s">
        <v>36</v>
      </c>
      <c r="M259" s="1">
        <f>VLOOKUP(Employees!A259,Performance!A258:E758,3,0)</f>
        <v>2</v>
      </c>
    </row>
    <row r="260" spans="1:13" x14ac:dyDescent="0.3">
      <c r="A260" s="4" t="s">
        <v>808</v>
      </c>
      <c r="B260" s="4" t="s">
        <v>143</v>
      </c>
      <c r="C260" s="4" t="s">
        <v>165</v>
      </c>
      <c r="D260" s="4" t="s">
        <v>24</v>
      </c>
      <c r="E260" s="4">
        <v>26</v>
      </c>
      <c r="F260" s="4" t="s">
        <v>16</v>
      </c>
      <c r="G260" s="4" t="s">
        <v>17</v>
      </c>
      <c r="H260" s="4" t="s">
        <v>809</v>
      </c>
      <c r="I260" s="4">
        <v>109724</v>
      </c>
      <c r="J260" s="4" t="s">
        <v>60</v>
      </c>
      <c r="K260" s="4" t="s">
        <v>810</v>
      </c>
      <c r="L260" s="4" t="s">
        <v>21</v>
      </c>
      <c r="M260" s="1">
        <f>VLOOKUP(Employees!A260,Performance!A259:E759,3,0)</f>
        <v>1</v>
      </c>
    </row>
    <row r="261" spans="1:13" x14ac:dyDescent="0.3">
      <c r="A261" s="5" t="s">
        <v>811</v>
      </c>
      <c r="B261" s="5" t="s">
        <v>44</v>
      </c>
      <c r="C261" s="5" t="s">
        <v>45</v>
      </c>
      <c r="D261" s="5" t="s">
        <v>24</v>
      </c>
      <c r="E261" s="5">
        <v>35</v>
      </c>
      <c r="F261" s="5" t="s">
        <v>16</v>
      </c>
      <c r="G261" s="5" t="s">
        <v>26</v>
      </c>
      <c r="H261" s="5" t="s">
        <v>213</v>
      </c>
      <c r="I261" s="5">
        <v>69243</v>
      </c>
      <c r="J261" s="5" t="s">
        <v>65</v>
      </c>
      <c r="K261" s="5" t="s">
        <v>812</v>
      </c>
      <c r="L261" s="5" t="s">
        <v>36</v>
      </c>
      <c r="M261" s="1">
        <f>VLOOKUP(Employees!A261,Performance!A260:E760,3,0)</f>
        <v>3</v>
      </c>
    </row>
    <row r="262" spans="1:13" x14ac:dyDescent="0.3">
      <c r="A262" s="4" t="s">
        <v>813</v>
      </c>
      <c r="B262" s="4" t="s">
        <v>54</v>
      </c>
      <c r="C262" s="4" t="s">
        <v>45</v>
      </c>
      <c r="D262" s="4" t="s">
        <v>15</v>
      </c>
      <c r="E262" s="4">
        <v>22</v>
      </c>
      <c r="F262" s="4" t="s">
        <v>25</v>
      </c>
      <c r="G262" s="4" t="s">
        <v>26</v>
      </c>
      <c r="H262" s="4" t="s">
        <v>814</v>
      </c>
      <c r="I262" s="4">
        <v>46775</v>
      </c>
      <c r="J262" s="4" t="s">
        <v>19</v>
      </c>
      <c r="K262" s="4" t="s">
        <v>815</v>
      </c>
      <c r="L262" s="4" t="s">
        <v>36</v>
      </c>
      <c r="M262" s="1">
        <f>VLOOKUP(Employees!A262,Performance!A261:E761,3,0)</f>
        <v>4</v>
      </c>
    </row>
    <row r="263" spans="1:13" x14ac:dyDescent="0.3">
      <c r="A263" s="5" t="s">
        <v>816</v>
      </c>
      <c r="B263" s="5" t="s">
        <v>54</v>
      </c>
      <c r="C263" s="5" t="s">
        <v>130</v>
      </c>
      <c r="D263" s="5" t="s">
        <v>15</v>
      </c>
      <c r="E263" s="5">
        <v>37</v>
      </c>
      <c r="F263" s="5" t="s">
        <v>16</v>
      </c>
      <c r="G263" s="5" t="s">
        <v>40</v>
      </c>
      <c r="H263" s="5" t="s">
        <v>744</v>
      </c>
      <c r="I263" s="5">
        <v>86841</v>
      </c>
      <c r="J263" s="5" t="s">
        <v>60</v>
      </c>
      <c r="K263" s="5" t="s">
        <v>817</v>
      </c>
      <c r="L263" s="5" t="s">
        <v>36</v>
      </c>
      <c r="M263" s="1">
        <f>VLOOKUP(Employees!A263,Performance!A262:E762,3,0)</f>
        <v>2</v>
      </c>
    </row>
    <row r="264" spans="1:13" x14ac:dyDescent="0.3">
      <c r="A264" s="4" t="s">
        <v>818</v>
      </c>
      <c r="B264" s="4" t="s">
        <v>30</v>
      </c>
      <c r="C264" s="4" t="s">
        <v>90</v>
      </c>
      <c r="D264" s="4" t="s">
        <v>24</v>
      </c>
      <c r="E264" s="4">
        <v>59</v>
      </c>
      <c r="F264" s="4" t="s">
        <v>16</v>
      </c>
      <c r="G264" s="4" t="s">
        <v>108</v>
      </c>
      <c r="H264" s="4" t="s">
        <v>819</v>
      </c>
      <c r="I264" s="4">
        <v>91520</v>
      </c>
      <c r="J264" s="4" t="s">
        <v>80</v>
      </c>
      <c r="K264" s="4" t="s">
        <v>820</v>
      </c>
      <c r="L264" s="4" t="s">
        <v>36</v>
      </c>
      <c r="M264" s="1">
        <f>VLOOKUP(Employees!A264,Performance!A263:E763,3,0)</f>
        <v>5</v>
      </c>
    </row>
    <row r="265" spans="1:13" x14ac:dyDescent="0.3">
      <c r="A265" s="5" t="s">
        <v>821</v>
      </c>
      <c r="B265" s="5" t="s">
        <v>94</v>
      </c>
      <c r="C265" s="5" t="s">
        <v>130</v>
      </c>
      <c r="D265" s="5" t="s">
        <v>15</v>
      </c>
      <c r="E265" s="5">
        <v>44</v>
      </c>
      <c r="F265" s="5" t="s">
        <v>25</v>
      </c>
      <c r="G265" s="5" t="s">
        <v>17</v>
      </c>
      <c r="H265" s="5" t="s">
        <v>822</v>
      </c>
      <c r="I265" s="5">
        <v>97265</v>
      </c>
      <c r="J265" s="5" t="s">
        <v>19</v>
      </c>
      <c r="K265" s="5" t="s">
        <v>823</v>
      </c>
      <c r="L265" s="5" t="s">
        <v>21</v>
      </c>
      <c r="M265" s="1">
        <f>VLOOKUP(Employees!A265,Performance!A264:E764,3,0)</f>
        <v>2</v>
      </c>
    </row>
    <row r="266" spans="1:13" x14ac:dyDescent="0.3">
      <c r="A266" s="4" t="s">
        <v>824</v>
      </c>
      <c r="B266" s="4" t="s">
        <v>30</v>
      </c>
      <c r="C266" s="4" t="s">
        <v>78</v>
      </c>
      <c r="D266" s="4" t="s">
        <v>24</v>
      </c>
      <c r="E266" s="4">
        <v>60</v>
      </c>
      <c r="F266" s="4" t="s">
        <v>16</v>
      </c>
      <c r="G266" s="4" t="s">
        <v>32</v>
      </c>
      <c r="H266" s="4" t="s">
        <v>825</v>
      </c>
      <c r="I266" s="4">
        <v>76450</v>
      </c>
      <c r="J266" s="4" t="s">
        <v>60</v>
      </c>
      <c r="K266" s="4" t="s">
        <v>826</v>
      </c>
      <c r="L266" s="4" t="s">
        <v>21</v>
      </c>
      <c r="M266" s="1">
        <f>VLOOKUP(Employees!A266,Performance!A265:E765,3,0)</f>
        <v>2</v>
      </c>
    </row>
    <row r="267" spans="1:13" x14ac:dyDescent="0.3">
      <c r="A267" s="5" t="s">
        <v>827</v>
      </c>
      <c r="B267" s="5" t="s">
        <v>58</v>
      </c>
      <c r="C267" s="5" t="s">
        <v>14</v>
      </c>
      <c r="D267" s="5" t="s">
        <v>24</v>
      </c>
      <c r="E267" s="5">
        <v>45</v>
      </c>
      <c r="F267" s="5" t="s">
        <v>25</v>
      </c>
      <c r="G267" s="5" t="s">
        <v>17</v>
      </c>
      <c r="H267" s="5" t="s">
        <v>828</v>
      </c>
      <c r="I267" s="5">
        <v>85702</v>
      </c>
      <c r="J267" s="5" t="s">
        <v>34</v>
      </c>
      <c r="K267" s="5" t="s">
        <v>829</v>
      </c>
      <c r="L267" s="5" t="s">
        <v>36</v>
      </c>
      <c r="M267" s="1">
        <f>VLOOKUP(Employees!A267,Performance!A266:E766,3,0)</f>
        <v>4</v>
      </c>
    </row>
    <row r="268" spans="1:13" x14ac:dyDescent="0.3">
      <c r="A268" s="4" t="s">
        <v>830</v>
      </c>
      <c r="B268" s="4" t="s">
        <v>71</v>
      </c>
      <c r="C268" s="4" t="s">
        <v>165</v>
      </c>
      <c r="D268" s="4" t="s">
        <v>15</v>
      </c>
      <c r="E268" s="4">
        <v>52</v>
      </c>
      <c r="F268" s="4" t="s">
        <v>31</v>
      </c>
      <c r="G268" s="4" t="s">
        <v>40</v>
      </c>
      <c r="H268" s="4" t="s">
        <v>831</v>
      </c>
      <c r="I268" s="4">
        <v>94043</v>
      </c>
      <c r="J268" s="4" t="s">
        <v>65</v>
      </c>
      <c r="K268" s="4" t="s">
        <v>832</v>
      </c>
      <c r="L268" s="4" t="s">
        <v>36</v>
      </c>
      <c r="M268" s="1">
        <f>VLOOKUP(Employees!A268,Performance!A267:E767,3,0)</f>
        <v>4</v>
      </c>
    </row>
    <row r="269" spans="1:13" x14ac:dyDescent="0.3">
      <c r="A269" s="5" t="s">
        <v>833</v>
      </c>
      <c r="B269" s="5" t="s">
        <v>44</v>
      </c>
      <c r="C269" s="5" t="s">
        <v>78</v>
      </c>
      <c r="D269" s="5" t="s">
        <v>15</v>
      </c>
      <c r="E269" s="5">
        <v>26</v>
      </c>
      <c r="F269" s="5" t="s">
        <v>31</v>
      </c>
      <c r="G269" s="5" t="s">
        <v>108</v>
      </c>
      <c r="H269" s="5" t="s">
        <v>834</v>
      </c>
      <c r="I269" s="5">
        <v>59385</v>
      </c>
      <c r="J269" s="5" t="s">
        <v>34</v>
      </c>
      <c r="K269" s="5" t="s">
        <v>835</v>
      </c>
      <c r="L269" s="5" t="s">
        <v>21</v>
      </c>
      <c r="M269" s="1">
        <f>VLOOKUP(Employees!A269,Performance!A268:E768,3,0)</f>
        <v>2</v>
      </c>
    </row>
    <row r="270" spans="1:13" x14ac:dyDescent="0.3">
      <c r="A270" s="4" t="s">
        <v>836</v>
      </c>
      <c r="B270" s="4" t="s">
        <v>54</v>
      </c>
      <c r="C270" s="4" t="s">
        <v>63</v>
      </c>
      <c r="D270" s="4" t="s">
        <v>15</v>
      </c>
      <c r="E270" s="4">
        <v>43</v>
      </c>
      <c r="F270" s="4" t="s">
        <v>50</v>
      </c>
      <c r="G270" s="4" t="s">
        <v>40</v>
      </c>
      <c r="H270" s="4" t="s">
        <v>837</v>
      </c>
      <c r="I270" s="4">
        <v>114243</v>
      </c>
      <c r="J270" s="4" t="s">
        <v>65</v>
      </c>
      <c r="K270" s="4" t="s">
        <v>838</v>
      </c>
      <c r="L270" s="4" t="s">
        <v>21</v>
      </c>
      <c r="M270" s="1">
        <f>VLOOKUP(Employees!A270,Performance!A269:E769,3,0)</f>
        <v>1</v>
      </c>
    </row>
    <row r="271" spans="1:13" x14ac:dyDescent="0.3">
      <c r="A271" s="5" t="s">
        <v>839</v>
      </c>
      <c r="B271" s="5" t="s">
        <v>13</v>
      </c>
      <c r="C271" s="5" t="s">
        <v>83</v>
      </c>
      <c r="D271" s="5" t="s">
        <v>15</v>
      </c>
      <c r="E271" s="5">
        <v>38</v>
      </c>
      <c r="F271" s="5" t="s">
        <v>16</v>
      </c>
      <c r="G271" s="5" t="s">
        <v>17</v>
      </c>
      <c r="H271" s="5" t="s">
        <v>840</v>
      </c>
      <c r="I271" s="5">
        <v>108702</v>
      </c>
      <c r="J271" s="5" t="s">
        <v>60</v>
      </c>
      <c r="K271" s="5" t="s">
        <v>841</v>
      </c>
      <c r="L271" s="5" t="s">
        <v>21</v>
      </c>
      <c r="M271" s="1">
        <f>VLOOKUP(Employees!A271,Performance!A270:E770,3,0)</f>
        <v>4</v>
      </c>
    </row>
    <row r="272" spans="1:13" x14ac:dyDescent="0.3">
      <c r="A272" s="4" t="s">
        <v>842</v>
      </c>
      <c r="B272" s="4" t="s">
        <v>13</v>
      </c>
      <c r="C272" s="4" t="s">
        <v>78</v>
      </c>
      <c r="D272" s="4" t="s">
        <v>24</v>
      </c>
      <c r="E272" s="4">
        <v>54</v>
      </c>
      <c r="F272" s="4" t="s">
        <v>16</v>
      </c>
      <c r="G272" s="4" t="s">
        <v>40</v>
      </c>
      <c r="H272" s="4" t="s">
        <v>843</v>
      </c>
      <c r="I272" s="4">
        <v>103130</v>
      </c>
      <c r="J272" s="4" t="s">
        <v>19</v>
      </c>
      <c r="K272" s="4" t="s">
        <v>844</v>
      </c>
      <c r="L272" s="4" t="s">
        <v>21</v>
      </c>
      <c r="M272" s="1">
        <f>VLOOKUP(Employees!A272,Performance!A271:E771,3,0)</f>
        <v>5</v>
      </c>
    </row>
    <row r="273" spans="1:13" x14ac:dyDescent="0.3">
      <c r="A273" s="5" t="s">
        <v>845</v>
      </c>
      <c r="B273" s="5" t="s">
        <v>30</v>
      </c>
      <c r="C273" s="5" t="s">
        <v>45</v>
      </c>
      <c r="D273" s="5" t="s">
        <v>24</v>
      </c>
      <c r="E273" s="5">
        <v>44</v>
      </c>
      <c r="F273" s="5" t="s">
        <v>31</v>
      </c>
      <c r="G273" s="5" t="s">
        <v>17</v>
      </c>
      <c r="H273" s="5" t="s">
        <v>846</v>
      </c>
      <c r="I273" s="5">
        <v>71195</v>
      </c>
      <c r="J273" s="5" t="s">
        <v>80</v>
      </c>
      <c r="K273" s="5" t="s">
        <v>847</v>
      </c>
      <c r="L273" s="5" t="s">
        <v>21</v>
      </c>
      <c r="M273" s="1">
        <f>VLOOKUP(Employees!A273,Performance!A272:E772,3,0)</f>
        <v>4</v>
      </c>
    </row>
    <row r="274" spans="1:13" x14ac:dyDescent="0.3">
      <c r="A274" s="4" t="s">
        <v>848</v>
      </c>
      <c r="B274" s="4" t="s">
        <v>143</v>
      </c>
      <c r="C274" s="4" t="s">
        <v>83</v>
      </c>
      <c r="D274" s="4" t="s">
        <v>15</v>
      </c>
      <c r="E274" s="4">
        <v>55</v>
      </c>
      <c r="F274" s="4" t="s">
        <v>16</v>
      </c>
      <c r="G274" s="4" t="s">
        <v>26</v>
      </c>
      <c r="H274" s="4" t="s">
        <v>849</v>
      </c>
      <c r="I274" s="4">
        <v>40336</v>
      </c>
      <c r="J274" s="4" t="s">
        <v>80</v>
      </c>
      <c r="K274" s="4" t="s">
        <v>850</v>
      </c>
      <c r="L274" s="4" t="s">
        <v>36</v>
      </c>
      <c r="M274" s="1">
        <f>VLOOKUP(Employees!A274,Performance!A273:E773,3,0)</f>
        <v>2</v>
      </c>
    </row>
    <row r="275" spans="1:13" x14ac:dyDescent="0.3">
      <c r="A275" s="5" t="s">
        <v>851</v>
      </c>
      <c r="B275" s="5" t="s">
        <v>94</v>
      </c>
      <c r="C275" s="5" t="s">
        <v>23</v>
      </c>
      <c r="D275" s="5" t="s">
        <v>24</v>
      </c>
      <c r="E275" s="5">
        <v>52</v>
      </c>
      <c r="F275" s="5" t="s">
        <v>50</v>
      </c>
      <c r="G275" s="5" t="s">
        <v>40</v>
      </c>
      <c r="H275" s="5" t="s">
        <v>852</v>
      </c>
      <c r="I275" s="5">
        <v>107267</v>
      </c>
      <c r="J275" s="5" t="s">
        <v>65</v>
      </c>
      <c r="K275" s="5" t="s">
        <v>853</v>
      </c>
      <c r="L275" s="5" t="s">
        <v>36</v>
      </c>
      <c r="M275" s="1">
        <f>VLOOKUP(Employees!A275,Performance!A274:E774,3,0)</f>
        <v>4</v>
      </c>
    </row>
    <row r="276" spans="1:13" x14ac:dyDescent="0.3">
      <c r="A276" s="4" t="s">
        <v>854</v>
      </c>
      <c r="B276" s="4" t="s">
        <v>13</v>
      </c>
      <c r="C276" s="4" t="s">
        <v>90</v>
      </c>
      <c r="D276" s="4" t="s">
        <v>15</v>
      </c>
      <c r="E276" s="4">
        <v>43</v>
      </c>
      <c r="F276" s="4" t="s">
        <v>31</v>
      </c>
      <c r="G276" s="4" t="s">
        <v>32</v>
      </c>
      <c r="H276" s="4" t="s">
        <v>855</v>
      </c>
      <c r="I276" s="4">
        <v>89633</v>
      </c>
      <c r="J276" s="4" t="s">
        <v>65</v>
      </c>
      <c r="K276" s="4" t="s">
        <v>856</v>
      </c>
      <c r="L276" s="4" t="s">
        <v>36</v>
      </c>
      <c r="M276" s="1">
        <f>VLOOKUP(Employees!A276,Performance!A275:E775,3,0)</f>
        <v>4</v>
      </c>
    </row>
    <row r="277" spans="1:13" x14ac:dyDescent="0.3">
      <c r="A277" s="5" t="s">
        <v>857</v>
      </c>
      <c r="B277" s="5" t="s">
        <v>54</v>
      </c>
      <c r="C277" s="5" t="s">
        <v>23</v>
      </c>
      <c r="D277" s="5" t="s">
        <v>24</v>
      </c>
      <c r="E277" s="5">
        <v>51</v>
      </c>
      <c r="F277" s="5" t="s">
        <v>31</v>
      </c>
      <c r="G277" s="5" t="s">
        <v>40</v>
      </c>
      <c r="H277" s="5" t="s">
        <v>858</v>
      </c>
      <c r="I277" s="5">
        <v>76409</v>
      </c>
      <c r="J277" s="5" t="s">
        <v>34</v>
      </c>
      <c r="K277" s="5" t="s">
        <v>859</v>
      </c>
      <c r="L277" s="5" t="s">
        <v>36</v>
      </c>
      <c r="M277" s="1">
        <f>VLOOKUP(Employees!A277,Performance!A276:E776,3,0)</f>
        <v>2</v>
      </c>
    </row>
    <row r="278" spans="1:13" x14ac:dyDescent="0.3">
      <c r="A278" s="4" t="s">
        <v>860</v>
      </c>
      <c r="B278" s="4" t="s">
        <v>94</v>
      </c>
      <c r="C278" s="4" t="s">
        <v>45</v>
      </c>
      <c r="D278" s="4" t="s">
        <v>15</v>
      </c>
      <c r="E278" s="4">
        <v>22</v>
      </c>
      <c r="F278" s="4" t="s">
        <v>31</v>
      </c>
      <c r="G278" s="4" t="s">
        <v>26</v>
      </c>
      <c r="H278" s="4" t="s">
        <v>861</v>
      </c>
      <c r="I278" s="4">
        <v>79899</v>
      </c>
      <c r="J278" s="4" t="s">
        <v>65</v>
      </c>
      <c r="K278" s="4" t="s">
        <v>862</v>
      </c>
      <c r="L278" s="4" t="s">
        <v>36</v>
      </c>
      <c r="M278" s="1">
        <f>VLOOKUP(Employees!A278,Performance!A277:E777,3,0)</f>
        <v>2</v>
      </c>
    </row>
    <row r="279" spans="1:13" x14ac:dyDescent="0.3">
      <c r="A279" s="5" t="s">
        <v>863</v>
      </c>
      <c r="B279" s="5" t="s">
        <v>49</v>
      </c>
      <c r="C279" s="5" t="s">
        <v>95</v>
      </c>
      <c r="D279" s="5" t="s">
        <v>15</v>
      </c>
      <c r="E279" s="5">
        <v>28</v>
      </c>
      <c r="F279" s="5" t="s">
        <v>16</v>
      </c>
      <c r="G279" s="5" t="s">
        <v>32</v>
      </c>
      <c r="H279" s="5" t="s">
        <v>864</v>
      </c>
      <c r="I279" s="5">
        <v>92548</v>
      </c>
      <c r="J279" s="5" t="s">
        <v>19</v>
      </c>
      <c r="K279" s="5" t="s">
        <v>865</v>
      </c>
      <c r="L279" s="5" t="s">
        <v>36</v>
      </c>
      <c r="M279" s="1">
        <f>VLOOKUP(Employees!A279,Performance!A278:E778,3,0)</f>
        <v>2</v>
      </c>
    </row>
    <row r="280" spans="1:13" x14ac:dyDescent="0.3">
      <c r="A280" s="4" t="s">
        <v>866</v>
      </c>
      <c r="B280" s="4" t="s">
        <v>38</v>
      </c>
      <c r="C280" s="4" t="s">
        <v>165</v>
      </c>
      <c r="D280" s="4" t="s">
        <v>15</v>
      </c>
      <c r="E280" s="4">
        <v>32</v>
      </c>
      <c r="F280" s="4" t="s">
        <v>16</v>
      </c>
      <c r="G280" s="4" t="s">
        <v>40</v>
      </c>
      <c r="H280" s="4" t="s">
        <v>867</v>
      </c>
      <c r="I280" s="4">
        <v>60558</v>
      </c>
      <c r="J280" s="4" t="s">
        <v>60</v>
      </c>
      <c r="K280" s="4" t="s">
        <v>868</v>
      </c>
      <c r="L280" s="4" t="s">
        <v>21</v>
      </c>
      <c r="M280" s="1">
        <f>VLOOKUP(Employees!A280,Performance!A279:E779,3,0)</f>
        <v>2</v>
      </c>
    </row>
    <row r="281" spans="1:13" x14ac:dyDescent="0.3">
      <c r="A281" s="5" t="s">
        <v>869</v>
      </c>
      <c r="B281" s="5" t="s">
        <v>49</v>
      </c>
      <c r="C281" s="5" t="s">
        <v>130</v>
      </c>
      <c r="D281" s="5" t="s">
        <v>15</v>
      </c>
      <c r="E281" s="5">
        <v>60</v>
      </c>
      <c r="F281" s="5" t="s">
        <v>25</v>
      </c>
      <c r="G281" s="5" t="s">
        <v>17</v>
      </c>
      <c r="H281" s="5" t="s">
        <v>870</v>
      </c>
      <c r="I281" s="5">
        <v>40802</v>
      </c>
      <c r="J281" s="5" t="s">
        <v>80</v>
      </c>
      <c r="K281" s="5" t="s">
        <v>871</v>
      </c>
      <c r="L281" s="5" t="s">
        <v>21</v>
      </c>
      <c r="M281" s="1">
        <f>VLOOKUP(Employees!A281,Performance!A280:E780,3,0)</f>
        <v>1</v>
      </c>
    </row>
    <row r="282" spans="1:13" x14ac:dyDescent="0.3">
      <c r="A282" s="4" t="s">
        <v>872</v>
      </c>
      <c r="B282" s="4" t="s">
        <v>143</v>
      </c>
      <c r="C282" s="4" t="s">
        <v>165</v>
      </c>
      <c r="D282" s="4" t="s">
        <v>24</v>
      </c>
      <c r="E282" s="4">
        <v>24</v>
      </c>
      <c r="F282" s="4" t="s">
        <v>39</v>
      </c>
      <c r="G282" s="4" t="s">
        <v>108</v>
      </c>
      <c r="H282" s="4" t="s">
        <v>873</v>
      </c>
      <c r="I282" s="4">
        <v>117454</v>
      </c>
      <c r="J282" s="4" t="s">
        <v>65</v>
      </c>
      <c r="K282" s="4" t="s">
        <v>874</v>
      </c>
      <c r="L282" s="4" t="s">
        <v>36</v>
      </c>
      <c r="M282" s="1">
        <f>VLOOKUP(Employees!A282,Performance!A281:E781,3,0)</f>
        <v>1</v>
      </c>
    </row>
    <row r="283" spans="1:13" x14ac:dyDescent="0.3">
      <c r="A283" s="5" t="s">
        <v>875</v>
      </c>
      <c r="B283" s="5" t="s">
        <v>143</v>
      </c>
      <c r="C283" s="5" t="s">
        <v>95</v>
      </c>
      <c r="D283" s="5" t="s">
        <v>24</v>
      </c>
      <c r="E283" s="5">
        <v>26</v>
      </c>
      <c r="F283" s="5" t="s">
        <v>31</v>
      </c>
      <c r="G283" s="5" t="s">
        <v>32</v>
      </c>
      <c r="H283" s="5" t="s">
        <v>876</v>
      </c>
      <c r="I283" s="5">
        <v>48830</v>
      </c>
      <c r="J283" s="5" t="s">
        <v>65</v>
      </c>
      <c r="K283" s="5" t="s">
        <v>877</v>
      </c>
      <c r="L283" s="5" t="s">
        <v>21</v>
      </c>
      <c r="M283" s="1">
        <f>VLOOKUP(Employees!A283,Performance!A282:E782,3,0)</f>
        <v>1</v>
      </c>
    </row>
    <row r="284" spans="1:13" x14ac:dyDescent="0.3">
      <c r="A284" s="4" t="s">
        <v>878</v>
      </c>
      <c r="B284" s="4" t="s">
        <v>58</v>
      </c>
      <c r="C284" s="4" t="s">
        <v>23</v>
      </c>
      <c r="D284" s="4" t="s">
        <v>24</v>
      </c>
      <c r="E284" s="4">
        <v>36</v>
      </c>
      <c r="F284" s="4" t="s">
        <v>50</v>
      </c>
      <c r="G284" s="4" t="s">
        <v>17</v>
      </c>
      <c r="H284" s="4" t="s">
        <v>879</v>
      </c>
      <c r="I284" s="4">
        <v>45532</v>
      </c>
      <c r="J284" s="4" t="s">
        <v>80</v>
      </c>
      <c r="K284" s="4" t="s">
        <v>880</v>
      </c>
      <c r="L284" s="4" t="s">
        <v>36</v>
      </c>
      <c r="M284" s="1">
        <f>VLOOKUP(Employees!A284,Performance!A283:E783,3,0)</f>
        <v>5</v>
      </c>
    </row>
    <row r="285" spans="1:13" x14ac:dyDescent="0.3">
      <c r="A285" s="5" t="s">
        <v>881</v>
      </c>
      <c r="B285" s="5" t="s">
        <v>44</v>
      </c>
      <c r="C285" s="5" t="s">
        <v>95</v>
      </c>
      <c r="D285" s="5" t="s">
        <v>24</v>
      </c>
      <c r="E285" s="5">
        <v>43</v>
      </c>
      <c r="F285" s="5" t="s">
        <v>39</v>
      </c>
      <c r="G285" s="5" t="s">
        <v>40</v>
      </c>
      <c r="H285" s="5" t="s">
        <v>216</v>
      </c>
      <c r="I285" s="5">
        <v>44771</v>
      </c>
      <c r="J285" s="5" t="s">
        <v>65</v>
      </c>
      <c r="K285" s="5" t="s">
        <v>882</v>
      </c>
      <c r="L285" s="5" t="s">
        <v>21</v>
      </c>
      <c r="M285" s="1">
        <f>VLOOKUP(Employees!A285,Performance!A284:E784,3,0)</f>
        <v>2</v>
      </c>
    </row>
    <row r="286" spans="1:13" x14ac:dyDescent="0.3">
      <c r="A286" s="4" t="s">
        <v>883</v>
      </c>
      <c r="B286" s="4" t="s">
        <v>54</v>
      </c>
      <c r="C286" s="4" t="s">
        <v>45</v>
      </c>
      <c r="D286" s="4" t="s">
        <v>15</v>
      </c>
      <c r="E286" s="4">
        <v>27</v>
      </c>
      <c r="F286" s="4" t="s">
        <v>39</v>
      </c>
      <c r="G286" s="4" t="s">
        <v>17</v>
      </c>
      <c r="H286" s="4" t="s">
        <v>884</v>
      </c>
      <c r="I286" s="4">
        <v>46998</v>
      </c>
      <c r="J286" s="4" t="s">
        <v>60</v>
      </c>
      <c r="K286" s="4" t="s">
        <v>885</v>
      </c>
      <c r="L286" s="4" t="s">
        <v>36</v>
      </c>
      <c r="M286" s="1">
        <f>VLOOKUP(Employees!A286,Performance!A285:E785,3,0)</f>
        <v>3</v>
      </c>
    </row>
    <row r="287" spans="1:13" x14ac:dyDescent="0.3">
      <c r="A287" s="5" t="s">
        <v>886</v>
      </c>
      <c r="B287" s="5" t="s">
        <v>71</v>
      </c>
      <c r="C287" s="5" t="s">
        <v>45</v>
      </c>
      <c r="D287" s="5" t="s">
        <v>15</v>
      </c>
      <c r="E287" s="5">
        <v>47</v>
      </c>
      <c r="F287" s="5" t="s">
        <v>31</v>
      </c>
      <c r="G287" s="5" t="s">
        <v>26</v>
      </c>
      <c r="H287" s="5" t="s">
        <v>887</v>
      </c>
      <c r="I287" s="5">
        <v>106837</v>
      </c>
      <c r="J287" s="5" t="s">
        <v>80</v>
      </c>
      <c r="K287" s="5" t="s">
        <v>888</v>
      </c>
      <c r="L287" s="5" t="s">
        <v>36</v>
      </c>
      <c r="M287" s="1">
        <f>VLOOKUP(Employees!A287,Performance!A286:E786,3,0)</f>
        <v>3</v>
      </c>
    </row>
    <row r="288" spans="1:13" x14ac:dyDescent="0.3">
      <c r="A288" s="4" t="s">
        <v>889</v>
      </c>
      <c r="B288" s="4" t="s">
        <v>58</v>
      </c>
      <c r="C288" s="4" t="s">
        <v>130</v>
      </c>
      <c r="D288" s="4" t="s">
        <v>15</v>
      </c>
      <c r="E288" s="4">
        <v>52</v>
      </c>
      <c r="F288" s="4" t="s">
        <v>31</v>
      </c>
      <c r="G288" s="4" t="s">
        <v>108</v>
      </c>
      <c r="H288" s="4" t="s">
        <v>890</v>
      </c>
      <c r="I288" s="4">
        <v>97878</v>
      </c>
      <c r="J288" s="4" t="s">
        <v>65</v>
      </c>
      <c r="K288" s="4" t="s">
        <v>891</v>
      </c>
      <c r="L288" s="4" t="s">
        <v>36</v>
      </c>
      <c r="M288" s="1">
        <f>VLOOKUP(Employees!A288,Performance!A287:E787,3,0)</f>
        <v>1</v>
      </c>
    </row>
    <row r="289" spans="1:13" x14ac:dyDescent="0.3">
      <c r="A289" s="5" t="s">
        <v>892</v>
      </c>
      <c r="B289" s="5" t="s">
        <v>54</v>
      </c>
      <c r="C289" s="5" t="s">
        <v>95</v>
      </c>
      <c r="D289" s="5" t="s">
        <v>15</v>
      </c>
      <c r="E289" s="5">
        <v>52</v>
      </c>
      <c r="F289" s="5" t="s">
        <v>31</v>
      </c>
      <c r="G289" s="5" t="s">
        <v>108</v>
      </c>
      <c r="H289" s="5" t="s">
        <v>893</v>
      </c>
      <c r="I289" s="5">
        <v>42401</v>
      </c>
      <c r="J289" s="5" t="s">
        <v>65</v>
      </c>
      <c r="K289" s="5" t="s">
        <v>894</v>
      </c>
      <c r="L289" s="5" t="s">
        <v>36</v>
      </c>
      <c r="M289" s="1">
        <f>VLOOKUP(Employees!A289,Performance!A288:E788,3,0)</f>
        <v>4</v>
      </c>
    </row>
    <row r="290" spans="1:13" x14ac:dyDescent="0.3">
      <c r="A290" s="4" t="s">
        <v>895</v>
      </c>
      <c r="B290" s="4" t="s">
        <v>49</v>
      </c>
      <c r="C290" s="4" t="s">
        <v>165</v>
      </c>
      <c r="D290" s="4" t="s">
        <v>15</v>
      </c>
      <c r="E290" s="4">
        <v>59</v>
      </c>
      <c r="F290" s="4" t="s">
        <v>31</v>
      </c>
      <c r="G290" s="4" t="s">
        <v>26</v>
      </c>
      <c r="H290" s="4" t="s">
        <v>896</v>
      </c>
      <c r="I290" s="4">
        <v>88760</v>
      </c>
      <c r="J290" s="4" t="s">
        <v>19</v>
      </c>
      <c r="K290" s="4" t="s">
        <v>897</v>
      </c>
      <c r="L290" s="4" t="s">
        <v>21</v>
      </c>
      <c r="M290" s="1">
        <f>VLOOKUP(Employees!A290,Performance!A289:E789,3,0)</f>
        <v>1</v>
      </c>
    </row>
    <row r="291" spans="1:13" x14ac:dyDescent="0.3">
      <c r="A291" s="5" t="s">
        <v>898</v>
      </c>
      <c r="B291" s="5" t="s">
        <v>94</v>
      </c>
      <c r="C291" s="5" t="s">
        <v>63</v>
      </c>
      <c r="D291" s="5" t="s">
        <v>24</v>
      </c>
      <c r="E291" s="5">
        <v>43</v>
      </c>
      <c r="F291" s="5" t="s">
        <v>39</v>
      </c>
      <c r="G291" s="5" t="s">
        <v>17</v>
      </c>
      <c r="H291" s="5" t="s">
        <v>899</v>
      </c>
      <c r="I291" s="5">
        <v>55436</v>
      </c>
      <c r="J291" s="5" t="s">
        <v>80</v>
      </c>
      <c r="K291" s="5" t="s">
        <v>900</v>
      </c>
      <c r="L291" s="5" t="s">
        <v>21</v>
      </c>
      <c r="M291" s="1">
        <f>VLOOKUP(Employees!A291,Performance!A290:E790,3,0)</f>
        <v>5</v>
      </c>
    </row>
    <row r="292" spans="1:13" x14ac:dyDescent="0.3">
      <c r="A292" s="4" t="s">
        <v>901</v>
      </c>
      <c r="B292" s="4" t="s">
        <v>58</v>
      </c>
      <c r="C292" s="4" t="s">
        <v>45</v>
      </c>
      <c r="D292" s="4" t="s">
        <v>15</v>
      </c>
      <c r="E292" s="4">
        <v>55</v>
      </c>
      <c r="F292" s="4" t="s">
        <v>31</v>
      </c>
      <c r="G292" s="4" t="s">
        <v>108</v>
      </c>
      <c r="H292" s="4" t="s">
        <v>902</v>
      </c>
      <c r="I292" s="4">
        <v>84404</v>
      </c>
      <c r="J292" s="4" t="s">
        <v>19</v>
      </c>
      <c r="K292" s="4" t="s">
        <v>903</v>
      </c>
      <c r="L292" s="4" t="s">
        <v>36</v>
      </c>
      <c r="M292" s="1">
        <f>VLOOKUP(Employees!A292,Performance!A291:E791,3,0)</f>
        <v>3</v>
      </c>
    </row>
    <row r="293" spans="1:13" x14ac:dyDescent="0.3">
      <c r="A293" s="5" t="s">
        <v>904</v>
      </c>
      <c r="B293" s="5" t="s">
        <v>143</v>
      </c>
      <c r="C293" s="5" t="s">
        <v>130</v>
      </c>
      <c r="D293" s="5" t="s">
        <v>24</v>
      </c>
      <c r="E293" s="5">
        <v>24</v>
      </c>
      <c r="F293" s="5" t="s">
        <v>39</v>
      </c>
      <c r="G293" s="5" t="s">
        <v>26</v>
      </c>
      <c r="H293" s="5" t="s">
        <v>905</v>
      </c>
      <c r="I293" s="5">
        <v>83157</v>
      </c>
      <c r="J293" s="5" t="s">
        <v>19</v>
      </c>
      <c r="K293" s="5" t="s">
        <v>906</v>
      </c>
      <c r="L293" s="5" t="s">
        <v>36</v>
      </c>
      <c r="M293" s="1">
        <f>VLOOKUP(Employees!A293,Performance!A292:E792,3,0)</f>
        <v>3</v>
      </c>
    </row>
    <row r="294" spans="1:13" x14ac:dyDescent="0.3">
      <c r="A294" s="4" t="s">
        <v>907</v>
      </c>
      <c r="B294" s="4" t="s">
        <v>38</v>
      </c>
      <c r="C294" s="4" t="s">
        <v>45</v>
      </c>
      <c r="D294" s="4" t="s">
        <v>24</v>
      </c>
      <c r="E294" s="4">
        <v>50</v>
      </c>
      <c r="F294" s="4" t="s">
        <v>31</v>
      </c>
      <c r="G294" s="4" t="s">
        <v>26</v>
      </c>
      <c r="H294" s="4" t="s">
        <v>908</v>
      </c>
      <c r="I294" s="4">
        <v>49330</v>
      </c>
      <c r="J294" s="4" t="s">
        <v>65</v>
      </c>
      <c r="K294" s="4" t="s">
        <v>909</v>
      </c>
      <c r="L294" s="4" t="s">
        <v>21</v>
      </c>
      <c r="M294" s="1">
        <f>VLOOKUP(Employees!A294,Performance!A293:E793,3,0)</f>
        <v>5</v>
      </c>
    </row>
    <row r="295" spans="1:13" x14ac:dyDescent="0.3">
      <c r="A295" s="5" t="s">
        <v>910</v>
      </c>
      <c r="B295" s="5" t="s">
        <v>13</v>
      </c>
      <c r="C295" s="5" t="s">
        <v>45</v>
      </c>
      <c r="D295" s="5" t="s">
        <v>24</v>
      </c>
      <c r="E295" s="5">
        <v>40</v>
      </c>
      <c r="F295" s="5" t="s">
        <v>25</v>
      </c>
      <c r="G295" s="5" t="s">
        <v>40</v>
      </c>
      <c r="H295" s="5" t="s">
        <v>911</v>
      </c>
      <c r="I295" s="5">
        <v>89213</v>
      </c>
      <c r="J295" s="5" t="s">
        <v>34</v>
      </c>
      <c r="K295" s="5" t="s">
        <v>912</v>
      </c>
      <c r="L295" s="5" t="s">
        <v>21</v>
      </c>
      <c r="M295" s="1">
        <f>VLOOKUP(Employees!A295,Performance!A294:E794,3,0)</f>
        <v>3</v>
      </c>
    </row>
    <row r="296" spans="1:13" x14ac:dyDescent="0.3">
      <c r="A296" s="4" t="s">
        <v>913</v>
      </c>
      <c r="B296" s="4" t="s">
        <v>143</v>
      </c>
      <c r="C296" s="4" t="s">
        <v>63</v>
      </c>
      <c r="D296" s="4" t="s">
        <v>24</v>
      </c>
      <c r="E296" s="4">
        <v>29</v>
      </c>
      <c r="F296" s="4" t="s">
        <v>16</v>
      </c>
      <c r="G296" s="4" t="s">
        <v>32</v>
      </c>
      <c r="H296" s="4" t="s">
        <v>914</v>
      </c>
      <c r="I296" s="4">
        <v>75306</v>
      </c>
      <c r="J296" s="4" t="s">
        <v>65</v>
      </c>
      <c r="K296" s="4" t="s">
        <v>915</v>
      </c>
      <c r="L296" s="4" t="s">
        <v>36</v>
      </c>
      <c r="M296" s="1">
        <f>VLOOKUP(Employees!A296,Performance!A295:E795,3,0)</f>
        <v>3</v>
      </c>
    </row>
    <row r="297" spans="1:13" x14ac:dyDescent="0.3">
      <c r="A297" s="5" t="s">
        <v>916</v>
      </c>
      <c r="B297" s="5" t="s">
        <v>30</v>
      </c>
      <c r="C297" s="5" t="s">
        <v>95</v>
      </c>
      <c r="D297" s="5" t="s">
        <v>15</v>
      </c>
      <c r="E297" s="5">
        <v>33</v>
      </c>
      <c r="F297" s="5" t="s">
        <v>25</v>
      </c>
      <c r="G297" s="5" t="s">
        <v>26</v>
      </c>
      <c r="H297" s="5" t="s">
        <v>917</v>
      </c>
      <c r="I297" s="5">
        <v>88151</v>
      </c>
      <c r="J297" s="5" t="s">
        <v>80</v>
      </c>
      <c r="K297" s="5" t="s">
        <v>918</v>
      </c>
      <c r="L297" s="5" t="s">
        <v>36</v>
      </c>
      <c r="M297" s="1">
        <f>VLOOKUP(Employees!A297,Performance!A296:E796,3,0)</f>
        <v>3</v>
      </c>
    </row>
    <row r="298" spans="1:13" x14ac:dyDescent="0.3">
      <c r="A298" s="4" t="s">
        <v>919</v>
      </c>
      <c r="B298" s="4" t="s">
        <v>13</v>
      </c>
      <c r="C298" s="4" t="s">
        <v>78</v>
      </c>
      <c r="D298" s="4" t="s">
        <v>24</v>
      </c>
      <c r="E298" s="4">
        <v>36</v>
      </c>
      <c r="F298" s="4" t="s">
        <v>31</v>
      </c>
      <c r="G298" s="4" t="s">
        <v>32</v>
      </c>
      <c r="H298" s="4" t="s">
        <v>920</v>
      </c>
      <c r="I298" s="4">
        <v>112274</v>
      </c>
      <c r="J298" s="4" t="s">
        <v>60</v>
      </c>
      <c r="K298" s="4" t="s">
        <v>921</v>
      </c>
      <c r="L298" s="4" t="s">
        <v>36</v>
      </c>
      <c r="M298" s="1">
        <f>VLOOKUP(Employees!A298,Performance!A297:E797,3,0)</f>
        <v>3</v>
      </c>
    </row>
    <row r="299" spans="1:13" x14ac:dyDescent="0.3">
      <c r="A299" s="5" t="s">
        <v>922</v>
      </c>
      <c r="B299" s="5" t="s">
        <v>71</v>
      </c>
      <c r="C299" s="5" t="s">
        <v>14</v>
      </c>
      <c r="D299" s="5" t="s">
        <v>15</v>
      </c>
      <c r="E299" s="5">
        <v>39</v>
      </c>
      <c r="F299" s="5" t="s">
        <v>16</v>
      </c>
      <c r="G299" s="5" t="s">
        <v>40</v>
      </c>
      <c r="H299" s="5" t="s">
        <v>923</v>
      </c>
      <c r="I299" s="5">
        <v>55507</v>
      </c>
      <c r="J299" s="5" t="s">
        <v>80</v>
      </c>
      <c r="K299" s="5" t="s">
        <v>924</v>
      </c>
      <c r="L299" s="5" t="s">
        <v>21</v>
      </c>
      <c r="M299" s="1">
        <f>VLOOKUP(Employees!A299,Performance!A298:E798,3,0)</f>
        <v>3</v>
      </c>
    </row>
    <row r="300" spans="1:13" x14ac:dyDescent="0.3">
      <c r="A300" s="4" t="s">
        <v>925</v>
      </c>
      <c r="B300" s="4" t="s">
        <v>30</v>
      </c>
      <c r="C300" s="4" t="s">
        <v>95</v>
      </c>
      <c r="D300" s="4" t="s">
        <v>15</v>
      </c>
      <c r="E300" s="4">
        <v>24</v>
      </c>
      <c r="F300" s="4" t="s">
        <v>50</v>
      </c>
      <c r="G300" s="4" t="s">
        <v>17</v>
      </c>
      <c r="H300" s="4" t="s">
        <v>926</v>
      </c>
      <c r="I300" s="4">
        <v>66638</v>
      </c>
      <c r="J300" s="4" t="s">
        <v>65</v>
      </c>
      <c r="K300" s="4" t="s">
        <v>927</v>
      </c>
      <c r="L300" s="4" t="s">
        <v>21</v>
      </c>
      <c r="M300" s="1">
        <f>VLOOKUP(Employees!A300,Performance!A299:E799,3,0)</f>
        <v>5</v>
      </c>
    </row>
    <row r="301" spans="1:13" x14ac:dyDescent="0.3">
      <c r="A301" s="5" t="s">
        <v>928</v>
      </c>
      <c r="B301" s="5" t="s">
        <v>44</v>
      </c>
      <c r="C301" s="5" t="s">
        <v>78</v>
      </c>
      <c r="D301" s="5" t="s">
        <v>15</v>
      </c>
      <c r="E301" s="5">
        <v>51</v>
      </c>
      <c r="F301" s="5" t="s">
        <v>16</v>
      </c>
      <c r="G301" s="5" t="s">
        <v>108</v>
      </c>
      <c r="H301" s="5" t="s">
        <v>929</v>
      </c>
      <c r="I301" s="5">
        <v>43356</v>
      </c>
      <c r="J301" s="5" t="s">
        <v>65</v>
      </c>
      <c r="K301" s="5" t="s">
        <v>930</v>
      </c>
      <c r="L301" s="5" t="s">
        <v>21</v>
      </c>
      <c r="M301" s="1">
        <f>VLOOKUP(Employees!A301,Performance!A300:E800,3,0)</f>
        <v>1</v>
      </c>
    </row>
    <row r="302" spans="1:13" x14ac:dyDescent="0.3">
      <c r="A302" s="4" t="s">
        <v>931</v>
      </c>
      <c r="B302" s="4" t="s">
        <v>38</v>
      </c>
      <c r="C302" s="4" t="s">
        <v>130</v>
      </c>
      <c r="D302" s="4" t="s">
        <v>15</v>
      </c>
      <c r="E302" s="4">
        <v>44</v>
      </c>
      <c r="F302" s="4" t="s">
        <v>31</v>
      </c>
      <c r="G302" s="4" t="s">
        <v>40</v>
      </c>
      <c r="H302" s="4" t="s">
        <v>932</v>
      </c>
      <c r="I302" s="4">
        <v>82425</v>
      </c>
      <c r="J302" s="4" t="s">
        <v>80</v>
      </c>
      <c r="K302" s="4" t="s">
        <v>933</v>
      </c>
      <c r="L302" s="4" t="s">
        <v>21</v>
      </c>
      <c r="M302" s="1">
        <f>VLOOKUP(Employees!A302,Performance!A301:E801,3,0)</f>
        <v>4</v>
      </c>
    </row>
    <row r="303" spans="1:13" x14ac:dyDescent="0.3">
      <c r="A303" s="5" t="s">
        <v>934</v>
      </c>
      <c r="B303" s="5" t="s">
        <v>44</v>
      </c>
      <c r="C303" s="5" t="s">
        <v>23</v>
      </c>
      <c r="D303" s="5" t="s">
        <v>15</v>
      </c>
      <c r="E303" s="5">
        <v>23</v>
      </c>
      <c r="F303" s="5" t="s">
        <v>39</v>
      </c>
      <c r="G303" s="5" t="s">
        <v>40</v>
      </c>
      <c r="H303" s="5" t="s">
        <v>415</v>
      </c>
      <c r="I303" s="5">
        <v>79670</v>
      </c>
      <c r="J303" s="5" t="s">
        <v>80</v>
      </c>
      <c r="K303" s="5" t="s">
        <v>935</v>
      </c>
      <c r="L303" s="5" t="s">
        <v>36</v>
      </c>
      <c r="M303" s="1">
        <f>VLOOKUP(Employees!A303,Performance!A302:E802,3,0)</f>
        <v>2</v>
      </c>
    </row>
    <row r="304" spans="1:13" x14ac:dyDescent="0.3">
      <c r="A304" s="4" t="s">
        <v>936</v>
      </c>
      <c r="B304" s="4" t="s">
        <v>13</v>
      </c>
      <c r="C304" s="4" t="s">
        <v>14</v>
      </c>
      <c r="D304" s="4" t="s">
        <v>24</v>
      </c>
      <c r="E304" s="4">
        <v>58</v>
      </c>
      <c r="F304" s="4" t="s">
        <v>50</v>
      </c>
      <c r="G304" s="4" t="s">
        <v>32</v>
      </c>
      <c r="H304" s="4" t="s">
        <v>937</v>
      </c>
      <c r="I304" s="4">
        <v>85427</v>
      </c>
      <c r="J304" s="4" t="s">
        <v>65</v>
      </c>
      <c r="K304" s="4" t="s">
        <v>938</v>
      </c>
      <c r="L304" s="4" t="s">
        <v>36</v>
      </c>
      <c r="M304" s="1">
        <f>VLOOKUP(Employees!A304,Performance!A303:E803,3,0)</f>
        <v>1</v>
      </c>
    </row>
    <row r="305" spans="1:13" x14ac:dyDescent="0.3">
      <c r="A305" s="5" t="s">
        <v>939</v>
      </c>
      <c r="B305" s="5" t="s">
        <v>143</v>
      </c>
      <c r="C305" s="5" t="s">
        <v>95</v>
      </c>
      <c r="D305" s="5" t="s">
        <v>15</v>
      </c>
      <c r="E305" s="5">
        <v>25</v>
      </c>
      <c r="F305" s="5" t="s">
        <v>25</v>
      </c>
      <c r="G305" s="5" t="s">
        <v>108</v>
      </c>
      <c r="H305" s="5" t="s">
        <v>940</v>
      </c>
      <c r="I305" s="5">
        <v>76975</v>
      </c>
      <c r="J305" s="5" t="s">
        <v>34</v>
      </c>
      <c r="K305" s="5" t="s">
        <v>941</v>
      </c>
      <c r="L305" s="5" t="s">
        <v>21</v>
      </c>
      <c r="M305" s="1">
        <f>VLOOKUP(Employees!A305,Performance!A304:E804,3,0)</f>
        <v>5</v>
      </c>
    </row>
    <row r="306" spans="1:13" x14ac:dyDescent="0.3">
      <c r="A306" s="4" t="s">
        <v>942</v>
      </c>
      <c r="B306" s="4" t="s">
        <v>38</v>
      </c>
      <c r="C306" s="4" t="s">
        <v>45</v>
      </c>
      <c r="D306" s="4" t="s">
        <v>15</v>
      </c>
      <c r="E306" s="4">
        <v>40</v>
      </c>
      <c r="F306" s="4" t="s">
        <v>16</v>
      </c>
      <c r="G306" s="4" t="s">
        <v>40</v>
      </c>
      <c r="H306" s="4" t="s">
        <v>943</v>
      </c>
      <c r="I306" s="4">
        <v>52019</v>
      </c>
      <c r="J306" s="4" t="s">
        <v>80</v>
      </c>
      <c r="K306" s="4" t="s">
        <v>944</v>
      </c>
      <c r="L306" s="4" t="s">
        <v>21</v>
      </c>
      <c r="M306" s="1">
        <f>VLOOKUP(Employees!A306,Performance!A305:E805,3,0)</f>
        <v>2</v>
      </c>
    </row>
    <row r="307" spans="1:13" x14ac:dyDescent="0.3">
      <c r="A307" s="5" t="s">
        <v>945</v>
      </c>
      <c r="B307" s="5" t="s">
        <v>58</v>
      </c>
      <c r="C307" s="5" t="s">
        <v>130</v>
      </c>
      <c r="D307" s="5" t="s">
        <v>15</v>
      </c>
      <c r="E307" s="5">
        <v>22</v>
      </c>
      <c r="F307" s="5" t="s">
        <v>16</v>
      </c>
      <c r="G307" s="5" t="s">
        <v>108</v>
      </c>
      <c r="H307" s="5" t="s">
        <v>946</v>
      </c>
      <c r="I307" s="5">
        <v>89336</v>
      </c>
      <c r="J307" s="5" t="s">
        <v>65</v>
      </c>
      <c r="K307" s="5" t="s">
        <v>947</v>
      </c>
      <c r="L307" s="5" t="s">
        <v>21</v>
      </c>
      <c r="M307" s="1">
        <f>VLOOKUP(Employees!A307,Performance!A306:E806,3,0)</f>
        <v>2</v>
      </c>
    </row>
    <row r="308" spans="1:13" x14ac:dyDescent="0.3">
      <c r="A308" s="4" t="s">
        <v>948</v>
      </c>
      <c r="B308" s="4" t="s">
        <v>38</v>
      </c>
      <c r="C308" s="4" t="s">
        <v>78</v>
      </c>
      <c r="D308" s="4" t="s">
        <v>24</v>
      </c>
      <c r="E308" s="4">
        <v>41</v>
      </c>
      <c r="F308" s="4" t="s">
        <v>50</v>
      </c>
      <c r="G308" s="4" t="s">
        <v>32</v>
      </c>
      <c r="H308" s="4" t="s">
        <v>949</v>
      </c>
      <c r="I308" s="4">
        <v>81363</v>
      </c>
      <c r="J308" s="4" t="s">
        <v>60</v>
      </c>
      <c r="K308" s="4" t="s">
        <v>950</v>
      </c>
      <c r="L308" s="4" t="s">
        <v>36</v>
      </c>
      <c r="M308" s="1">
        <f>VLOOKUP(Employees!A308,Performance!A307:E807,3,0)</f>
        <v>2</v>
      </c>
    </row>
    <row r="309" spans="1:13" x14ac:dyDescent="0.3">
      <c r="A309" s="5" t="s">
        <v>951</v>
      </c>
      <c r="B309" s="5" t="s">
        <v>49</v>
      </c>
      <c r="C309" s="5" t="s">
        <v>83</v>
      </c>
      <c r="D309" s="5" t="s">
        <v>24</v>
      </c>
      <c r="E309" s="5">
        <v>45</v>
      </c>
      <c r="F309" s="5" t="s">
        <v>50</v>
      </c>
      <c r="G309" s="5" t="s">
        <v>17</v>
      </c>
      <c r="H309" s="5" t="s">
        <v>952</v>
      </c>
      <c r="I309" s="5">
        <v>74751</v>
      </c>
      <c r="J309" s="5" t="s">
        <v>60</v>
      </c>
      <c r="K309" s="5" t="s">
        <v>953</v>
      </c>
      <c r="L309" s="5" t="s">
        <v>21</v>
      </c>
      <c r="M309" s="1">
        <f>VLOOKUP(Employees!A309,Performance!A308:E808,3,0)</f>
        <v>3</v>
      </c>
    </row>
    <row r="310" spans="1:13" x14ac:dyDescent="0.3">
      <c r="A310" s="4" t="s">
        <v>954</v>
      </c>
      <c r="B310" s="4" t="s">
        <v>143</v>
      </c>
      <c r="C310" s="4" t="s">
        <v>63</v>
      </c>
      <c r="D310" s="4" t="s">
        <v>15</v>
      </c>
      <c r="E310" s="4">
        <v>55</v>
      </c>
      <c r="F310" s="4" t="s">
        <v>50</v>
      </c>
      <c r="G310" s="4" t="s">
        <v>40</v>
      </c>
      <c r="H310" s="4" t="s">
        <v>193</v>
      </c>
      <c r="I310" s="4">
        <v>75014</v>
      </c>
      <c r="J310" s="4" t="s">
        <v>65</v>
      </c>
      <c r="K310" s="4" t="s">
        <v>955</v>
      </c>
      <c r="L310" s="4" t="s">
        <v>21</v>
      </c>
      <c r="M310" s="1">
        <f>VLOOKUP(Employees!A310,Performance!A309:E809,3,0)</f>
        <v>1</v>
      </c>
    </row>
    <row r="311" spans="1:13" x14ac:dyDescent="0.3">
      <c r="A311" s="5" t="s">
        <v>956</v>
      </c>
      <c r="B311" s="5" t="s">
        <v>54</v>
      </c>
      <c r="C311" s="5" t="s">
        <v>63</v>
      </c>
      <c r="D311" s="5" t="s">
        <v>15</v>
      </c>
      <c r="E311" s="5">
        <v>55</v>
      </c>
      <c r="F311" s="5" t="s">
        <v>39</v>
      </c>
      <c r="G311" s="5" t="s">
        <v>26</v>
      </c>
      <c r="H311" s="5" t="s">
        <v>957</v>
      </c>
      <c r="I311" s="5">
        <v>98004</v>
      </c>
      <c r="J311" s="5" t="s">
        <v>60</v>
      </c>
      <c r="K311" s="5" t="s">
        <v>958</v>
      </c>
      <c r="L311" s="5" t="s">
        <v>36</v>
      </c>
      <c r="M311" s="1">
        <f>VLOOKUP(Employees!A311,Performance!A310:E810,3,0)</f>
        <v>3</v>
      </c>
    </row>
    <row r="312" spans="1:13" x14ac:dyDescent="0.3">
      <c r="A312" s="4" t="s">
        <v>959</v>
      </c>
      <c r="B312" s="4" t="s">
        <v>54</v>
      </c>
      <c r="C312" s="4" t="s">
        <v>23</v>
      </c>
      <c r="D312" s="4" t="s">
        <v>15</v>
      </c>
      <c r="E312" s="4">
        <v>27</v>
      </c>
      <c r="F312" s="4" t="s">
        <v>50</v>
      </c>
      <c r="G312" s="4" t="s">
        <v>17</v>
      </c>
      <c r="H312" s="4" t="s">
        <v>466</v>
      </c>
      <c r="I312" s="4">
        <v>86048</v>
      </c>
      <c r="J312" s="4" t="s">
        <v>19</v>
      </c>
      <c r="K312" s="4" t="s">
        <v>960</v>
      </c>
      <c r="L312" s="4" t="s">
        <v>21</v>
      </c>
      <c r="M312" s="1">
        <f>VLOOKUP(Employees!A312,Performance!A311:E811,3,0)</f>
        <v>2</v>
      </c>
    </row>
    <row r="313" spans="1:13" x14ac:dyDescent="0.3">
      <c r="A313" s="5" t="s">
        <v>961</v>
      </c>
      <c r="B313" s="5" t="s">
        <v>143</v>
      </c>
      <c r="C313" s="5" t="s">
        <v>165</v>
      </c>
      <c r="D313" s="5" t="s">
        <v>24</v>
      </c>
      <c r="E313" s="5">
        <v>47</v>
      </c>
      <c r="F313" s="5" t="s">
        <v>31</v>
      </c>
      <c r="G313" s="5" t="s">
        <v>32</v>
      </c>
      <c r="H313" s="5" t="s">
        <v>962</v>
      </c>
      <c r="I313" s="5">
        <v>105072</v>
      </c>
      <c r="J313" s="5" t="s">
        <v>34</v>
      </c>
      <c r="K313" s="5" t="s">
        <v>963</v>
      </c>
      <c r="L313" s="5" t="s">
        <v>36</v>
      </c>
      <c r="M313" s="1">
        <f>VLOOKUP(Employees!A313,Performance!A312:E812,3,0)</f>
        <v>4</v>
      </c>
    </row>
    <row r="314" spans="1:13" x14ac:dyDescent="0.3">
      <c r="A314" s="4" t="s">
        <v>964</v>
      </c>
      <c r="B314" s="4" t="s">
        <v>44</v>
      </c>
      <c r="C314" s="4" t="s">
        <v>165</v>
      </c>
      <c r="D314" s="4" t="s">
        <v>24</v>
      </c>
      <c r="E314" s="4">
        <v>24</v>
      </c>
      <c r="F314" s="4" t="s">
        <v>39</v>
      </c>
      <c r="G314" s="4" t="s">
        <v>17</v>
      </c>
      <c r="H314" s="4" t="s">
        <v>965</v>
      </c>
      <c r="I314" s="4">
        <v>54389</v>
      </c>
      <c r="J314" s="4" t="s">
        <v>34</v>
      </c>
      <c r="K314" s="4" t="s">
        <v>966</v>
      </c>
      <c r="L314" s="4" t="s">
        <v>36</v>
      </c>
      <c r="M314" s="1">
        <f>VLOOKUP(Employees!A314,Performance!A313:E813,3,0)</f>
        <v>5</v>
      </c>
    </row>
    <row r="315" spans="1:13" x14ac:dyDescent="0.3">
      <c r="A315" s="5" t="s">
        <v>967</v>
      </c>
      <c r="B315" s="5" t="s">
        <v>30</v>
      </c>
      <c r="C315" s="5" t="s">
        <v>23</v>
      </c>
      <c r="D315" s="5" t="s">
        <v>15</v>
      </c>
      <c r="E315" s="5">
        <v>58</v>
      </c>
      <c r="F315" s="5" t="s">
        <v>50</v>
      </c>
      <c r="G315" s="5" t="s">
        <v>17</v>
      </c>
      <c r="H315" s="5" t="s">
        <v>968</v>
      </c>
      <c r="I315" s="5">
        <v>48029</v>
      </c>
      <c r="J315" s="5" t="s">
        <v>34</v>
      </c>
      <c r="K315" s="5" t="s">
        <v>969</v>
      </c>
      <c r="L315" s="5" t="s">
        <v>21</v>
      </c>
      <c r="M315" s="1">
        <f>VLOOKUP(Employees!A315,Performance!A314:E814,3,0)</f>
        <v>3</v>
      </c>
    </row>
    <row r="316" spans="1:13" x14ac:dyDescent="0.3">
      <c r="A316" s="4" t="s">
        <v>970</v>
      </c>
      <c r="B316" s="4" t="s">
        <v>13</v>
      </c>
      <c r="C316" s="4" t="s">
        <v>165</v>
      </c>
      <c r="D316" s="4" t="s">
        <v>15</v>
      </c>
      <c r="E316" s="4">
        <v>45</v>
      </c>
      <c r="F316" s="4" t="s">
        <v>50</v>
      </c>
      <c r="G316" s="4" t="s">
        <v>17</v>
      </c>
      <c r="H316" s="4" t="s">
        <v>971</v>
      </c>
      <c r="I316" s="4">
        <v>98879</v>
      </c>
      <c r="J316" s="4" t="s">
        <v>65</v>
      </c>
      <c r="K316" s="4" t="s">
        <v>972</v>
      </c>
      <c r="L316" s="4" t="s">
        <v>21</v>
      </c>
      <c r="M316" s="1">
        <f>VLOOKUP(Employees!A316,Performance!A315:E815,3,0)</f>
        <v>1</v>
      </c>
    </row>
    <row r="317" spans="1:13" x14ac:dyDescent="0.3">
      <c r="A317" s="5" t="s">
        <v>973</v>
      </c>
      <c r="B317" s="5" t="s">
        <v>54</v>
      </c>
      <c r="C317" s="5" t="s">
        <v>130</v>
      </c>
      <c r="D317" s="5" t="s">
        <v>15</v>
      </c>
      <c r="E317" s="5">
        <v>41</v>
      </c>
      <c r="F317" s="5" t="s">
        <v>39</v>
      </c>
      <c r="G317" s="5" t="s">
        <v>40</v>
      </c>
      <c r="H317" s="5" t="s">
        <v>974</v>
      </c>
      <c r="I317" s="5">
        <v>41158</v>
      </c>
      <c r="J317" s="5" t="s">
        <v>19</v>
      </c>
      <c r="K317" s="5" t="s">
        <v>975</v>
      </c>
      <c r="L317" s="5" t="s">
        <v>36</v>
      </c>
      <c r="M317" s="1">
        <f>VLOOKUP(Employees!A317,Performance!A316:E816,3,0)</f>
        <v>5</v>
      </c>
    </row>
    <row r="318" spans="1:13" x14ac:dyDescent="0.3">
      <c r="A318" s="4" t="s">
        <v>976</v>
      </c>
      <c r="B318" s="4" t="s">
        <v>54</v>
      </c>
      <c r="C318" s="4" t="s">
        <v>23</v>
      </c>
      <c r="D318" s="4" t="s">
        <v>24</v>
      </c>
      <c r="E318" s="4">
        <v>31</v>
      </c>
      <c r="F318" s="4" t="s">
        <v>31</v>
      </c>
      <c r="G318" s="4" t="s">
        <v>26</v>
      </c>
      <c r="H318" s="4" t="s">
        <v>977</v>
      </c>
      <c r="I318" s="4">
        <v>57027</v>
      </c>
      <c r="J318" s="4" t="s">
        <v>34</v>
      </c>
      <c r="K318" s="4" t="s">
        <v>978</v>
      </c>
      <c r="L318" s="4" t="s">
        <v>36</v>
      </c>
      <c r="M318" s="1">
        <f>VLOOKUP(Employees!A318,Performance!A317:E817,3,0)</f>
        <v>2</v>
      </c>
    </row>
    <row r="319" spans="1:13" x14ac:dyDescent="0.3">
      <c r="A319" s="5" t="s">
        <v>979</v>
      </c>
      <c r="B319" s="5" t="s">
        <v>143</v>
      </c>
      <c r="C319" s="5" t="s">
        <v>130</v>
      </c>
      <c r="D319" s="5" t="s">
        <v>15</v>
      </c>
      <c r="E319" s="5">
        <v>24</v>
      </c>
      <c r="F319" s="5" t="s">
        <v>31</v>
      </c>
      <c r="G319" s="5" t="s">
        <v>26</v>
      </c>
      <c r="H319" s="5" t="s">
        <v>980</v>
      </c>
      <c r="I319" s="5">
        <v>56782</v>
      </c>
      <c r="J319" s="5" t="s">
        <v>34</v>
      </c>
      <c r="K319" s="5" t="s">
        <v>981</v>
      </c>
      <c r="L319" s="5" t="s">
        <v>21</v>
      </c>
      <c r="M319" s="1">
        <f>VLOOKUP(Employees!A319,Performance!A318:E818,3,0)</f>
        <v>2</v>
      </c>
    </row>
    <row r="320" spans="1:13" x14ac:dyDescent="0.3">
      <c r="A320" s="4" t="s">
        <v>982</v>
      </c>
      <c r="B320" s="4" t="s">
        <v>38</v>
      </c>
      <c r="C320" s="4" t="s">
        <v>95</v>
      </c>
      <c r="D320" s="4" t="s">
        <v>15</v>
      </c>
      <c r="E320" s="4">
        <v>53</v>
      </c>
      <c r="F320" s="4" t="s">
        <v>31</v>
      </c>
      <c r="G320" s="4" t="s">
        <v>17</v>
      </c>
      <c r="H320" s="4" t="s">
        <v>983</v>
      </c>
      <c r="I320" s="4">
        <v>50653</v>
      </c>
      <c r="J320" s="4" t="s">
        <v>19</v>
      </c>
      <c r="K320" s="4" t="s">
        <v>984</v>
      </c>
      <c r="L320" s="4" t="s">
        <v>36</v>
      </c>
      <c r="M320" s="1">
        <f>VLOOKUP(Employees!A320,Performance!A319:E819,3,0)</f>
        <v>3</v>
      </c>
    </row>
    <row r="321" spans="1:13" x14ac:dyDescent="0.3">
      <c r="A321" s="5" t="s">
        <v>985</v>
      </c>
      <c r="B321" s="5" t="s">
        <v>38</v>
      </c>
      <c r="C321" s="5" t="s">
        <v>83</v>
      </c>
      <c r="D321" s="5" t="s">
        <v>15</v>
      </c>
      <c r="E321" s="5">
        <v>37</v>
      </c>
      <c r="F321" s="5" t="s">
        <v>16</v>
      </c>
      <c r="G321" s="5" t="s">
        <v>40</v>
      </c>
      <c r="H321" s="5" t="s">
        <v>475</v>
      </c>
      <c r="I321" s="5">
        <v>104915</v>
      </c>
      <c r="J321" s="5" t="s">
        <v>80</v>
      </c>
      <c r="K321" s="5" t="s">
        <v>986</v>
      </c>
      <c r="L321" s="5" t="s">
        <v>36</v>
      </c>
      <c r="M321" s="1">
        <f>VLOOKUP(Employees!A321,Performance!A320:E820,3,0)</f>
        <v>2</v>
      </c>
    </row>
    <row r="322" spans="1:13" x14ac:dyDescent="0.3">
      <c r="A322" s="4" t="s">
        <v>987</v>
      </c>
      <c r="B322" s="4" t="s">
        <v>44</v>
      </c>
      <c r="C322" s="4" t="s">
        <v>95</v>
      </c>
      <c r="D322" s="4" t="s">
        <v>24</v>
      </c>
      <c r="E322" s="4">
        <v>43</v>
      </c>
      <c r="F322" s="4" t="s">
        <v>31</v>
      </c>
      <c r="G322" s="4" t="s">
        <v>40</v>
      </c>
      <c r="H322" s="4" t="s">
        <v>988</v>
      </c>
      <c r="I322" s="4">
        <v>87776</v>
      </c>
      <c r="J322" s="4" t="s">
        <v>80</v>
      </c>
      <c r="K322" s="4" t="s">
        <v>989</v>
      </c>
      <c r="L322" s="4" t="s">
        <v>36</v>
      </c>
      <c r="M322" s="1">
        <f>VLOOKUP(Employees!A322,Performance!A321:E821,3,0)</f>
        <v>5</v>
      </c>
    </row>
    <row r="323" spans="1:13" x14ac:dyDescent="0.3">
      <c r="A323" s="5" t="s">
        <v>990</v>
      </c>
      <c r="B323" s="5" t="s">
        <v>58</v>
      </c>
      <c r="C323" s="5" t="s">
        <v>130</v>
      </c>
      <c r="D323" s="5" t="s">
        <v>15</v>
      </c>
      <c r="E323" s="5">
        <v>49</v>
      </c>
      <c r="F323" s="5" t="s">
        <v>39</v>
      </c>
      <c r="G323" s="5" t="s">
        <v>32</v>
      </c>
      <c r="H323" s="5" t="s">
        <v>991</v>
      </c>
      <c r="I323" s="5">
        <v>52338</v>
      </c>
      <c r="J323" s="5" t="s">
        <v>60</v>
      </c>
      <c r="K323" s="5" t="s">
        <v>992</v>
      </c>
      <c r="L323" s="5" t="s">
        <v>36</v>
      </c>
      <c r="M323" s="1">
        <f>VLOOKUP(Employees!A323,Performance!A322:E822,3,0)</f>
        <v>3</v>
      </c>
    </row>
    <row r="324" spans="1:13" x14ac:dyDescent="0.3">
      <c r="A324" s="4" t="s">
        <v>993</v>
      </c>
      <c r="B324" s="4" t="s">
        <v>30</v>
      </c>
      <c r="C324" s="4" t="s">
        <v>45</v>
      </c>
      <c r="D324" s="4" t="s">
        <v>15</v>
      </c>
      <c r="E324" s="4">
        <v>53</v>
      </c>
      <c r="F324" s="4" t="s">
        <v>39</v>
      </c>
      <c r="G324" s="4" t="s">
        <v>32</v>
      </c>
      <c r="H324" s="4" t="s">
        <v>994</v>
      </c>
      <c r="I324" s="4">
        <v>45630</v>
      </c>
      <c r="J324" s="4" t="s">
        <v>65</v>
      </c>
      <c r="K324" s="4" t="s">
        <v>995</v>
      </c>
      <c r="L324" s="4" t="s">
        <v>36</v>
      </c>
      <c r="M324" s="1">
        <f>VLOOKUP(Employees!A324,Performance!A323:E823,3,0)</f>
        <v>3</v>
      </c>
    </row>
    <row r="325" spans="1:13" x14ac:dyDescent="0.3">
      <c r="A325" s="5" t="s">
        <v>996</v>
      </c>
      <c r="B325" s="5" t="s">
        <v>38</v>
      </c>
      <c r="C325" s="5" t="s">
        <v>45</v>
      </c>
      <c r="D325" s="5" t="s">
        <v>24</v>
      </c>
      <c r="E325" s="5">
        <v>44</v>
      </c>
      <c r="F325" s="5" t="s">
        <v>39</v>
      </c>
      <c r="G325" s="5" t="s">
        <v>32</v>
      </c>
      <c r="H325" s="5" t="s">
        <v>997</v>
      </c>
      <c r="I325" s="5">
        <v>80403</v>
      </c>
      <c r="J325" s="5" t="s">
        <v>60</v>
      </c>
      <c r="K325" s="5" t="s">
        <v>998</v>
      </c>
      <c r="L325" s="5" t="s">
        <v>21</v>
      </c>
      <c r="M325" s="1">
        <f>VLOOKUP(Employees!A325,Performance!A324:E824,3,0)</f>
        <v>4</v>
      </c>
    </row>
    <row r="326" spans="1:13" x14ac:dyDescent="0.3">
      <c r="A326" s="4" t="s">
        <v>999</v>
      </c>
      <c r="B326" s="4" t="s">
        <v>44</v>
      </c>
      <c r="C326" s="4" t="s">
        <v>45</v>
      </c>
      <c r="D326" s="4" t="s">
        <v>24</v>
      </c>
      <c r="E326" s="4">
        <v>51</v>
      </c>
      <c r="F326" s="4" t="s">
        <v>39</v>
      </c>
      <c r="G326" s="4" t="s">
        <v>26</v>
      </c>
      <c r="H326" s="4" t="s">
        <v>1000</v>
      </c>
      <c r="I326" s="4">
        <v>82902</v>
      </c>
      <c r="J326" s="4" t="s">
        <v>80</v>
      </c>
      <c r="K326" s="4" t="s">
        <v>1001</v>
      </c>
      <c r="L326" s="4" t="s">
        <v>36</v>
      </c>
      <c r="M326" s="1">
        <f>VLOOKUP(Employees!A326,Performance!A325:E825,3,0)</f>
        <v>1</v>
      </c>
    </row>
    <row r="327" spans="1:13" x14ac:dyDescent="0.3">
      <c r="A327" s="5" t="s">
        <v>1002</v>
      </c>
      <c r="B327" s="5" t="s">
        <v>13</v>
      </c>
      <c r="C327" s="5" t="s">
        <v>165</v>
      </c>
      <c r="D327" s="5" t="s">
        <v>24</v>
      </c>
      <c r="E327" s="5">
        <v>46</v>
      </c>
      <c r="F327" s="5" t="s">
        <v>39</v>
      </c>
      <c r="G327" s="5" t="s">
        <v>108</v>
      </c>
      <c r="H327" s="5" t="s">
        <v>1003</v>
      </c>
      <c r="I327" s="5">
        <v>89841</v>
      </c>
      <c r="J327" s="5" t="s">
        <v>80</v>
      </c>
      <c r="K327" s="5" t="s">
        <v>1004</v>
      </c>
      <c r="L327" s="5" t="s">
        <v>21</v>
      </c>
      <c r="M327" s="1">
        <f>VLOOKUP(Employees!A327,Performance!A326:E826,3,0)</f>
        <v>1</v>
      </c>
    </row>
    <row r="328" spans="1:13" x14ac:dyDescent="0.3">
      <c r="A328" s="4" t="s">
        <v>1005</v>
      </c>
      <c r="B328" s="4" t="s">
        <v>54</v>
      </c>
      <c r="C328" s="4" t="s">
        <v>90</v>
      </c>
      <c r="D328" s="4" t="s">
        <v>24</v>
      </c>
      <c r="E328" s="4">
        <v>36</v>
      </c>
      <c r="F328" s="4" t="s">
        <v>25</v>
      </c>
      <c r="G328" s="4" t="s">
        <v>26</v>
      </c>
      <c r="H328" s="4" t="s">
        <v>1006</v>
      </c>
      <c r="I328" s="4">
        <v>112396</v>
      </c>
      <c r="J328" s="4" t="s">
        <v>60</v>
      </c>
      <c r="K328" s="4" t="s">
        <v>1007</v>
      </c>
      <c r="L328" s="4" t="s">
        <v>21</v>
      </c>
      <c r="M328" s="1">
        <f>VLOOKUP(Employees!A328,Performance!A327:E827,3,0)</f>
        <v>5</v>
      </c>
    </row>
    <row r="329" spans="1:13" x14ac:dyDescent="0.3">
      <c r="A329" s="5" t="s">
        <v>1008</v>
      </c>
      <c r="B329" s="5" t="s">
        <v>54</v>
      </c>
      <c r="C329" s="5" t="s">
        <v>23</v>
      </c>
      <c r="D329" s="5" t="s">
        <v>24</v>
      </c>
      <c r="E329" s="5">
        <v>39</v>
      </c>
      <c r="F329" s="5" t="s">
        <v>16</v>
      </c>
      <c r="G329" s="5" t="s">
        <v>108</v>
      </c>
      <c r="H329" s="5" t="s">
        <v>1009</v>
      </c>
      <c r="I329" s="5">
        <v>91433</v>
      </c>
      <c r="J329" s="5" t="s">
        <v>80</v>
      </c>
      <c r="K329" s="5" t="s">
        <v>1010</v>
      </c>
      <c r="L329" s="5" t="s">
        <v>36</v>
      </c>
      <c r="M329" s="1">
        <f>VLOOKUP(Employees!A329,Performance!A328:E828,3,0)</f>
        <v>5</v>
      </c>
    </row>
    <row r="330" spans="1:13" x14ac:dyDescent="0.3">
      <c r="A330" s="4" t="s">
        <v>1011</v>
      </c>
      <c r="B330" s="4" t="s">
        <v>49</v>
      </c>
      <c r="C330" s="4" t="s">
        <v>95</v>
      </c>
      <c r="D330" s="4" t="s">
        <v>15</v>
      </c>
      <c r="E330" s="4">
        <v>58</v>
      </c>
      <c r="F330" s="4" t="s">
        <v>39</v>
      </c>
      <c r="G330" s="4" t="s">
        <v>32</v>
      </c>
      <c r="H330" s="4" t="s">
        <v>1012</v>
      </c>
      <c r="I330" s="4">
        <v>75628</v>
      </c>
      <c r="J330" s="4" t="s">
        <v>60</v>
      </c>
      <c r="K330" s="4" t="s">
        <v>1013</v>
      </c>
      <c r="L330" s="4" t="s">
        <v>21</v>
      </c>
      <c r="M330" s="1">
        <f>VLOOKUP(Employees!A330,Performance!A329:E829,3,0)</f>
        <v>5</v>
      </c>
    </row>
    <row r="331" spans="1:13" x14ac:dyDescent="0.3">
      <c r="A331" s="5" t="s">
        <v>1014</v>
      </c>
      <c r="B331" s="5" t="s">
        <v>13</v>
      </c>
      <c r="C331" s="5" t="s">
        <v>45</v>
      </c>
      <c r="D331" s="5" t="s">
        <v>15</v>
      </c>
      <c r="E331" s="5">
        <v>56</v>
      </c>
      <c r="F331" s="5" t="s">
        <v>50</v>
      </c>
      <c r="G331" s="5" t="s">
        <v>17</v>
      </c>
      <c r="H331" s="5" t="s">
        <v>1015</v>
      </c>
      <c r="I331" s="5">
        <v>68036</v>
      </c>
      <c r="J331" s="5" t="s">
        <v>80</v>
      </c>
      <c r="K331" s="5" t="s">
        <v>1016</v>
      </c>
      <c r="L331" s="5" t="s">
        <v>36</v>
      </c>
      <c r="M331" s="1">
        <f>VLOOKUP(Employees!A331,Performance!A330:E830,3,0)</f>
        <v>1</v>
      </c>
    </row>
    <row r="332" spans="1:13" x14ac:dyDescent="0.3">
      <c r="A332" s="4" t="s">
        <v>1017</v>
      </c>
      <c r="B332" s="4" t="s">
        <v>94</v>
      </c>
      <c r="C332" s="4" t="s">
        <v>78</v>
      </c>
      <c r="D332" s="4" t="s">
        <v>24</v>
      </c>
      <c r="E332" s="4">
        <v>50</v>
      </c>
      <c r="F332" s="4" t="s">
        <v>16</v>
      </c>
      <c r="G332" s="4" t="s">
        <v>108</v>
      </c>
      <c r="H332" s="4" t="s">
        <v>1018</v>
      </c>
      <c r="I332" s="4">
        <v>61746</v>
      </c>
      <c r="J332" s="4" t="s">
        <v>65</v>
      </c>
      <c r="K332" s="4" t="s">
        <v>1019</v>
      </c>
      <c r="L332" s="4" t="s">
        <v>36</v>
      </c>
      <c r="M332" s="1">
        <f>VLOOKUP(Employees!A332,Performance!A331:E831,3,0)</f>
        <v>1</v>
      </c>
    </row>
    <row r="333" spans="1:13" x14ac:dyDescent="0.3">
      <c r="A333" s="5" t="s">
        <v>1020</v>
      </c>
      <c r="B333" s="5" t="s">
        <v>143</v>
      </c>
      <c r="C333" s="5" t="s">
        <v>63</v>
      </c>
      <c r="D333" s="5" t="s">
        <v>15</v>
      </c>
      <c r="E333" s="5">
        <v>26</v>
      </c>
      <c r="F333" s="5" t="s">
        <v>16</v>
      </c>
      <c r="G333" s="5" t="s">
        <v>108</v>
      </c>
      <c r="H333" s="5" t="s">
        <v>510</v>
      </c>
      <c r="I333" s="5">
        <v>47221</v>
      </c>
      <c r="J333" s="5" t="s">
        <v>60</v>
      </c>
      <c r="K333" s="5" t="s">
        <v>1021</v>
      </c>
      <c r="L333" s="5" t="s">
        <v>36</v>
      </c>
      <c r="M333" s="1">
        <f>VLOOKUP(Employees!A333,Performance!A332:E832,3,0)</f>
        <v>5</v>
      </c>
    </row>
    <row r="334" spans="1:13" x14ac:dyDescent="0.3">
      <c r="A334" s="4" t="s">
        <v>1022</v>
      </c>
      <c r="B334" s="4" t="s">
        <v>71</v>
      </c>
      <c r="C334" s="4" t="s">
        <v>165</v>
      </c>
      <c r="D334" s="4" t="s">
        <v>15</v>
      </c>
      <c r="E334" s="4">
        <v>32</v>
      </c>
      <c r="F334" s="4" t="s">
        <v>31</v>
      </c>
      <c r="G334" s="4" t="s">
        <v>108</v>
      </c>
      <c r="H334" s="4" t="s">
        <v>1023</v>
      </c>
      <c r="I334" s="4">
        <v>75595</v>
      </c>
      <c r="J334" s="4" t="s">
        <v>19</v>
      </c>
      <c r="K334" s="4" t="s">
        <v>1024</v>
      </c>
      <c r="L334" s="4" t="s">
        <v>21</v>
      </c>
      <c r="M334" s="1">
        <f>VLOOKUP(Employees!A334,Performance!A333:E833,3,0)</f>
        <v>3</v>
      </c>
    </row>
    <row r="335" spans="1:13" x14ac:dyDescent="0.3">
      <c r="A335" s="5" t="s">
        <v>1025</v>
      </c>
      <c r="B335" s="5" t="s">
        <v>38</v>
      </c>
      <c r="C335" s="5" t="s">
        <v>83</v>
      </c>
      <c r="D335" s="5" t="s">
        <v>15</v>
      </c>
      <c r="E335" s="5">
        <v>46</v>
      </c>
      <c r="F335" s="5" t="s">
        <v>50</v>
      </c>
      <c r="G335" s="5" t="s">
        <v>17</v>
      </c>
      <c r="H335" s="5" t="s">
        <v>1026</v>
      </c>
      <c r="I335" s="5">
        <v>104179</v>
      </c>
      <c r="J335" s="5" t="s">
        <v>34</v>
      </c>
      <c r="K335" s="5" t="s">
        <v>1027</v>
      </c>
      <c r="L335" s="5" t="s">
        <v>36</v>
      </c>
      <c r="M335" s="1">
        <f>VLOOKUP(Employees!A335,Performance!A334:E834,3,0)</f>
        <v>3</v>
      </c>
    </row>
    <row r="336" spans="1:13" x14ac:dyDescent="0.3">
      <c r="A336" s="4" t="s">
        <v>1028</v>
      </c>
      <c r="B336" s="4" t="s">
        <v>44</v>
      </c>
      <c r="C336" s="4" t="s">
        <v>130</v>
      </c>
      <c r="D336" s="4" t="s">
        <v>15</v>
      </c>
      <c r="E336" s="4">
        <v>37</v>
      </c>
      <c r="F336" s="4" t="s">
        <v>16</v>
      </c>
      <c r="G336" s="4" t="s">
        <v>108</v>
      </c>
      <c r="H336" s="4" t="s">
        <v>1029</v>
      </c>
      <c r="I336" s="4">
        <v>46212</v>
      </c>
      <c r="J336" s="4" t="s">
        <v>19</v>
      </c>
      <c r="K336" s="4" t="s">
        <v>1030</v>
      </c>
      <c r="L336" s="4" t="s">
        <v>21</v>
      </c>
      <c r="M336" s="1">
        <f>VLOOKUP(Employees!A336,Performance!A335:E835,3,0)</f>
        <v>1</v>
      </c>
    </row>
    <row r="337" spans="1:13" x14ac:dyDescent="0.3">
      <c r="A337" s="5" t="s">
        <v>1031</v>
      </c>
      <c r="B337" s="5" t="s">
        <v>58</v>
      </c>
      <c r="C337" s="5" t="s">
        <v>90</v>
      </c>
      <c r="D337" s="5" t="s">
        <v>24</v>
      </c>
      <c r="E337" s="5">
        <v>47</v>
      </c>
      <c r="F337" s="5" t="s">
        <v>39</v>
      </c>
      <c r="G337" s="5" t="s">
        <v>40</v>
      </c>
      <c r="H337" s="5" t="s">
        <v>1032</v>
      </c>
      <c r="I337" s="5">
        <v>39091</v>
      </c>
      <c r="J337" s="5" t="s">
        <v>80</v>
      </c>
      <c r="K337" s="5" t="s">
        <v>1033</v>
      </c>
      <c r="L337" s="5" t="s">
        <v>21</v>
      </c>
      <c r="M337" s="1">
        <f>VLOOKUP(Employees!A337,Performance!A336:E836,3,0)</f>
        <v>2</v>
      </c>
    </row>
    <row r="338" spans="1:13" x14ac:dyDescent="0.3">
      <c r="A338" s="4" t="s">
        <v>1034</v>
      </c>
      <c r="B338" s="4" t="s">
        <v>30</v>
      </c>
      <c r="C338" s="4" t="s">
        <v>83</v>
      </c>
      <c r="D338" s="4" t="s">
        <v>24</v>
      </c>
      <c r="E338" s="4">
        <v>43</v>
      </c>
      <c r="F338" s="4" t="s">
        <v>31</v>
      </c>
      <c r="G338" s="4" t="s">
        <v>40</v>
      </c>
      <c r="H338" s="4" t="s">
        <v>1035</v>
      </c>
      <c r="I338" s="4">
        <v>73436</v>
      </c>
      <c r="J338" s="4" t="s">
        <v>60</v>
      </c>
      <c r="K338" s="4" t="s">
        <v>1036</v>
      </c>
      <c r="L338" s="4" t="s">
        <v>36</v>
      </c>
      <c r="M338" s="1">
        <f>VLOOKUP(Employees!A338,Performance!A337:E837,3,0)</f>
        <v>1</v>
      </c>
    </row>
    <row r="339" spans="1:13" x14ac:dyDescent="0.3">
      <c r="A339" s="5" t="s">
        <v>1037</v>
      </c>
      <c r="B339" s="5" t="s">
        <v>143</v>
      </c>
      <c r="C339" s="5" t="s">
        <v>78</v>
      </c>
      <c r="D339" s="5" t="s">
        <v>15</v>
      </c>
      <c r="E339" s="5">
        <v>57</v>
      </c>
      <c r="F339" s="5" t="s">
        <v>25</v>
      </c>
      <c r="G339" s="5" t="s">
        <v>40</v>
      </c>
      <c r="H339" s="5" t="s">
        <v>1038</v>
      </c>
      <c r="I339" s="5">
        <v>62199</v>
      </c>
      <c r="J339" s="5" t="s">
        <v>60</v>
      </c>
      <c r="K339" s="5" t="s">
        <v>1039</v>
      </c>
      <c r="L339" s="5" t="s">
        <v>21</v>
      </c>
      <c r="M339" s="1">
        <f>VLOOKUP(Employees!A339,Performance!A338:E838,3,0)</f>
        <v>1</v>
      </c>
    </row>
    <row r="340" spans="1:13" x14ac:dyDescent="0.3">
      <c r="A340" s="4" t="s">
        <v>1040</v>
      </c>
      <c r="B340" s="4" t="s">
        <v>54</v>
      </c>
      <c r="C340" s="4" t="s">
        <v>95</v>
      </c>
      <c r="D340" s="4" t="s">
        <v>24</v>
      </c>
      <c r="E340" s="4">
        <v>41</v>
      </c>
      <c r="F340" s="4" t="s">
        <v>50</v>
      </c>
      <c r="G340" s="4" t="s">
        <v>26</v>
      </c>
      <c r="H340" s="4" t="s">
        <v>1041</v>
      </c>
      <c r="I340" s="4">
        <v>53338</v>
      </c>
      <c r="J340" s="4" t="s">
        <v>34</v>
      </c>
      <c r="K340" s="4" t="s">
        <v>1042</v>
      </c>
      <c r="L340" s="4" t="s">
        <v>21</v>
      </c>
      <c r="M340" s="1">
        <f>VLOOKUP(Employees!A340,Performance!A339:E839,3,0)</f>
        <v>3</v>
      </c>
    </row>
    <row r="341" spans="1:13" x14ac:dyDescent="0.3">
      <c r="A341" s="5" t="s">
        <v>1043</v>
      </c>
      <c r="B341" s="5" t="s">
        <v>94</v>
      </c>
      <c r="C341" s="5" t="s">
        <v>45</v>
      </c>
      <c r="D341" s="5" t="s">
        <v>15</v>
      </c>
      <c r="E341" s="5">
        <v>38</v>
      </c>
      <c r="F341" s="5" t="s">
        <v>25</v>
      </c>
      <c r="G341" s="5" t="s">
        <v>108</v>
      </c>
      <c r="H341" s="5" t="s">
        <v>1044</v>
      </c>
      <c r="I341" s="5">
        <v>64542</v>
      </c>
      <c r="J341" s="5" t="s">
        <v>65</v>
      </c>
      <c r="K341" s="5" t="s">
        <v>1045</v>
      </c>
      <c r="L341" s="5" t="s">
        <v>21</v>
      </c>
      <c r="M341" s="1">
        <f>VLOOKUP(Employees!A341,Performance!A340:E840,3,0)</f>
        <v>3</v>
      </c>
    </row>
    <row r="342" spans="1:13" x14ac:dyDescent="0.3">
      <c r="A342" s="4" t="s">
        <v>1046</v>
      </c>
      <c r="B342" s="4" t="s">
        <v>58</v>
      </c>
      <c r="C342" s="4" t="s">
        <v>130</v>
      </c>
      <c r="D342" s="4" t="s">
        <v>15</v>
      </c>
      <c r="E342" s="4">
        <v>59</v>
      </c>
      <c r="F342" s="4" t="s">
        <v>31</v>
      </c>
      <c r="G342" s="4" t="s">
        <v>108</v>
      </c>
      <c r="H342" s="4" t="s">
        <v>1047</v>
      </c>
      <c r="I342" s="4">
        <v>38117</v>
      </c>
      <c r="J342" s="4" t="s">
        <v>34</v>
      </c>
      <c r="K342" s="4" t="s">
        <v>1048</v>
      </c>
      <c r="L342" s="4" t="s">
        <v>21</v>
      </c>
      <c r="M342" s="1">
        <f>VLOOKUP(Employees!A342,Performance!A341:E841,3,0)</f>
        <v>2</v>
      </c>
    </row>
    <row r="343" spans="1:13" x14ac:dyDescent="0.3">
      <c r="A343" s="5" t="s">
        <v>1049</v>
      </c>
      <c r="B343" s="5" t="s">
        <v>30</v>
      </c>
      <c r="C343" s="5" t="s">
        <v>83</v>
      </c>
      <c r="D343" s="5" t="s">
        <v>24</v>
      </c>
      <c r="E343" s="5">
        <v>25</v>
      </c>
      <c r="F343" s="5" t="s">
        <v>16</v>
      </c>
      <c r="G343" s="5" t="s">
        <v>108</v>
      </c>
      <c r="H343" s="5" t="s">
        <v>1050</v>
      </c>
      <c r="I343" s="5">
        <v>101879</v>
      </c>
      <c r="J343" s="5" t="s">
        <v>19</v>
      </c>
      <c r="K343" s="5" t="s">
        <v>1051</v>
      </c>
      <c r="L343" s="5" t="s">
        <v>21</v>
      </c>
      <c r="M343" s="1">
        <f>VLOOKUP(Employees!A343,Performance!A342:E842,3,0)</f>
        <v>5</v>
      </c>
    </row>
    <row r="344" spans="1:13" x14ac:dyDescent="0.3">
      <c r="A344" s="4" t="s">
        <v>1052</v>
      </c>
      <c r="B344" s="4" t="s">
        <v>71</v>
      </c>
      <c r="C344" s="4" t="s">
        <v>23</v>
      </c>
      <c r="D344" s="4" t="s">
        <v>24</v>
      </c>
      <c r="E344" s="4">
        <v>43</v>
      </c>
      <c r="F344" s="4" t="s">
        <v>25</v>
      </c>
      <c r="G344" s="4" t="s">
        <v>108</v>
      </c>
      <c r="H344" s="4" t="s">
        <v>1053</v>
      </c>
      <c r="I344" s="4">
        <v>78777</v>
      </c>
      <c r="J344" s="4" t="s">
        <v>65</v>
      </c>
      <c r="K344" s="4" t="s">
        <v>1054</v>
      </c>
      <c r="L344" s="4" t="s">
        <v>21</v>
      </c>
      <c r="M344" s="1">
        <f>VLOOKUP(Employees!A344,Performance!A343:E843,3,0)</f>
        <v>4</v>
      </c>
    </row>
    <row r="345" spans="1:13" x14ac:dyDescent="0.3">
      <c r="A345" s="5" t="s">
        <v>1055</v>
      </c>
      <c r="B345" s="5" t="s">
        <v>30</v>
      </c>
      <c r="C345" s="5" t="s">
        <v>95</v>
      </c>
      <c r="D345" s="5" t="s">
        <v>15</v>
      </c>
      <c r="E345" s="5">
        <v>33</v>
      </c>
      <c r="F345" s="5" t="s">
        <v>16</v>
      </c>
      <c r="G345" s="5" t="s">
        <v>108</v>
      </c>
      <c r="H345" s="5" t="s">
        <v>1056</v>
      </c>
      <c r="I345" s="5">
        <v>43206</v>
      </c>
      <c r="J345" s="5" t="s">
        <v>65</v>
      </c>
      <c r="K345" s="5" t="s">
        <v>1057</v>
      </c>
      <c r="L345" s="5" t="s">
        <v>36</v>
      </c>
      <c r="M345" s="1">
        <f>VLOOKUP(Employees!A345,Performance!A344:E844,3,0)</f>
        <v>5</v>
      </c>
    </row>
    <row r="346" spans="1:13" x14ac:dyDescent="0.3">
      <c r="A346" s="4" t="s">
        <v>1058</v>
      </c>
      <c r="B346" s="4" t="s">
        <v>71</v>
      </c>
      <c r="C346" s="4" t="s">
        <v>90</v>
      </c>
      <c r="D346" s="4" t="s">
        <v>15</v>
      </c>
      <c r="E346" s="4">
        <v>42</v>
      </c>
      <c r="F346" s="4" t="s">
        <v>50</v>
      </c>
      <c r="G346" s="4" t="s">
        <v>26</v>
      </c>
      <c r="H346" s="4" t="s">
        <v>1059</v>
      </c>
      <c r="I346" s="4">
        <v>80745</v>
      </c>
      <c r="J346" s="4" t="s">
        <v>80</v>
      </c>
      <c r="K346" s="4" t="s">
        <v>1060</v>
      </c>
      <c r="L346" s="4" t="s">
        <v>36</v>
      </c>
      <c r="M346" s="1">
        <f>VLOOKUP(Employees!A346,Performance!A345:E845,3,0)</f>
        <v>2</v>
      </c>
    </row>
    <row r="347" spans="1:13" x14ac:dyDescent="0.3">
      <c r="A347" s="5" t="s">
        <v>1061</v>
      </c>
      <c r="B347" s="5" t="s">
        <v>44</v>
      </c>
      <c r="C347" s="5" t="s">
        <v>83</v>
      </c>
      <c r="D347" s="5" t="s">
        <v>24</v>
      </c>
      <c r="E347" s="5">
        <v>24</v>
      </c>
      <c r="F347" s="5" t="s">
        <v>50</v>
      </c>
      <c r="G347" s="5" t="s">
        <v>108</v>
      </c>
      <c r="H347" s="5" t="s">
        <v>1062</v>
      </c>
      <c r="I347" s="5">
        <v>67559</v>
      </c>
      <c r="J347" s="5" t="s">
        <v>34</v>
      </c>
      <c r="K347" s="5" t="s">
        <v>1063</v>
      </c>
      <c r="L347" s="5" t="s">
        <v>21</v>
      </c>
      <c r="M347" s="1">
        <f>VLOOKUP(Employees!A347,Performance!A346:E846,3,0)</f>
        <v>3</v>
      </c>
    </row>
    <row r="348" spans="1:13" x14ac:dyDescent="0.3">
      <c r="A348" s="4" t="s">
        <v>1064</v>
      </c>
      <c r="B348" s="4" t="s">
        <v>58</v>
      </c>
      <c r="C348" s="4" t="s">
        <v>78</v>
      </c>
      <c r="D348" s="4" t="s">
        <v>24</v>
      </c>
      <c r="E348" s="4">
        <v>47</v>
      </c>
      <c r="F348" s="4" t="s">
        <v>39</v>
      </c>
      <c r="G348" s="4" t="s">
        <v>26</v>
      </c>
      <c r="H348" s="4" t="s">
        <v>1065</v>
      </c>
      <c r="I348" s="4">
        <v>106379</v>
      </c>
      <c r="J348" s="4" t="s">
        <v>34</v>
      </c>
      <c r="K348" s="4" t="s">
        <v>1066</v>
      </c>
      <c r="L348" s="4" t="s">
        <v>21</v>
      </c>
      <c r="M348" s="1">
        <f>VLOOKUP(Employees!A348,Performance!A347:E847,3,0)</f>
        <v>1</v>
      </c>
    </row>
    <row r="349" spans="1:13" x14ac:dyDescent="0.3">
      <c r="A349" s="5" t="s">
        <v>1067</v>
      </c>
      <c r="B349" s="5" t="s">
        <v>13</v>
      </c>
      <c r="C349" s="5" t="s">
        <v>63</v>
      </c>
      <c r="D349" s="5" t="s">
        <v>24</v>
      </c>
      <c r="E349" s="5">
        <v>30</v>
      </c>
      <c r="F349" s="5" t="s">
        <v>31</v>
      </c>
      <c r="G349" s="5" t="s">
        <v>26</v>
      </c>
      <c r="H349" s="5" t="s">
        <v>1068</v>
      </c>
      <c r="I349" s="5">
        <v>103395</v>
      </c>
      <c r="J349" s="5" t="s">
        <v>19</v>
      </c>
      <c r="K349" s="5" t="s">
        <v>1069</v>
      </c>
      <c r="L349" s="5" t="s">
        <v>36</v>
      </c>
      <c r="M349" s="1">
        <f>VLOOKUP(Employees!A349,Performance!A348:E848,3,0)</f>
        <v>2</v>
      </c>
    </row>
    <row r="350" spans="1:13" x14ac:dyDescent="0.3">
      <c r="A350" s="4" t="s">
        <v>1070</v>
      </c>
      <c r="B350" s="4" t="s">
        <v>94</v>
      </c>
      <c r="C350" s="4" t="s">
        <v>130</v>
      </c>
      <c r="D350" s="4" t="s">
        <v>15</v>
      </c>
      <c r="E350" s="4">
        <v>33</v>
      </c>
      <c r="F350" s="4" t="s">
        <v>39</v>
      </c>
      <c r="G350" s="4" t="s">
        <v>32</v>
      </c>
      <c r="H350" s="4" t="s">
        <v>1071</v>
      </c>
      <c r="I350" s="4">
        <v>76025</v>
      </c>
      <c r="J350" s="4" t="s">
        <v>34</v>
      </c>
      <c r="K350" s="4" t="s">
        <v>1072</v>
      </c>
      <c r="L350" s="4" t="s">
        <v>36</v>
      </c>
      <c r="M350" s="1">
        <f>VLOOKUP(Employees!A350,Performance!A349:E849,3,0)</f>
        <v>3</v>
      </c>
    </row>
    <row r="351" spans="1:13" x14ac:dyDescent="0.3">
      <c r="A351" s="5" t="s">
        <v>1073</v>
      </c>
      <c r="B351" s="5" t="s">
        <v>49</v>
      </c>
      <c r="C351" s="5" t="s">
        <v>14</v>
      </c>
      <c r="D351" s="5" t="s">
        <v>15</v>
      </c>
      <c r="E351" s="5">
        <v>33</v>
      </c>
      <c r="F351" s="5" t="s">
        <v>31</v>
      </c>
      <c r="G351" s="5" t="s">
        <v>17</v>
      </c>
      <c r="H351" s="5" t="s">
        <v>1074</v>
      </c>
      <c r="I351" s="5">
        <v>69952</v>
      </c>
      <c r="J351" s="5" t="s">
        <v>60</v>
      </c>
      <c r="K351" s="5" t="s">
        <v>1075</v>
      </c>
      <c r="L351" s="5" t="s">
        <v>36</v>
      </c>
      <c r="M351" s="1">
        <f>VLOOKUP(Employees!A351,Performance!A350:E850,3,0)</f>
        <v>4</v>
      </c>
    </row>
    <row r="352" spans="1:13" x14ac:dyDescent="0.3">
      <c r="A352" s="4" t="s">
        <v>1076</v>
      </c>
      <c r="B352" s="4" t="s">
        <v>49</v>
      </c>
      <c r="C352" s="4" t="s">
        <v>45</v>
      </c>
      <c r="D352" s="4" t="s">
        <v>15</v>
      </c>
      <c r="E352" s="4">
        <v>42</v>
      </c>
      <c r="F352" s="4" t="s">
        <v>16</v>
      </c>
      <c r="G352" s="4" t="s">
        <v>26</v>
      </c>
      <c r="H352" s="4" t="s">
        <v>1077</v>
      </c>
      <c r="I352" s="4">
        <v>108637</v>
      </c>
      <c r="J352" s="4" t="s">
        <v>34</v>
      </c>
      <c r="K352" s="4" t="s">
        <v>1078</v>
      </c>
      <c r="L352" s="4" t="s">
        <v>36</v>
      </c>
      <c r="M352" s="1">
        <f>VLOOKUP(Employees!A352,Performance!A351:E851,3,0)</f>
        <v>2</v>
      </c>
    </row>
    <row r="353" spans="1:13" x14ac:dyDescent="0.3">
      <c r="A353" s="5" t="s">
        <v>1079</v>
      </c>
      <c r="B353" s="5" t="s">
        <v>44</v>
      </c>
      <c r="C353" s="5" t="s">
        <v>90</v>
      </c>
      <c r="D353" s="5" t="s">
        <v>15</v>
      </c>
      <c r="E353" s="5">
        <v>27</v>
      </c>
      <c r="F353" s="5" t="s">
        <v>31</v>
      </c>
      <c r="G353" s="5" t="s">
        <v>32</v>
      </c>
      <c r="H353" s="5" t="s">
        <v>1080</v>
      </c>
      <c r="I353" s="5">
        <v>65699</v>
      </c>
      <c r="J353" s="5" t="s">
        <v>34</v>
      </c>
      <c r="K353" s="5" t="s">
        <v>1081</v>
      </c>
      <c r="L353" s="5" t="s">
        <v>21</v>
      </c>
      <c r="M353" s="1">
        <f>VLOOKUP(Employees!A353,Performance!A352:E852,3,0)</f>
        <v>2</v>
      </c>
    </row>
    <row r="354" spans="1:13" x14ac:dyDescent="0.3">
      <c r="A354" s="4" t="s">
        <v>1082</v>
      </c>
      <c r="B354" s="4" t="s">
        <v>143</v>
      </c>
      <c r="C354" s="4" t="s">
        <v>63</v>
      </c>
      <c r="D354" s="4" t="s">
        <v>24</v>
      </c>
      <c r="E354" s="4">
        <v>50</v>
      </c>
      <c r="F354" s="4" t="s">
        <v>16</v>
      </c>
      <c r="G354" s="4" t="s">
        <v>40</v>
      </c>
      <c r="H354" s="4" t="s">
        <v>1083</v>
      </c>
      <c r="I354" s="4">
        <v>90340</v>
      </c>
      <c r="J354" s="4" t="s">
        <v>19</v>
      </c>
      <c r="K354" s="4" t="s">
        <v>1084</v>
      </c>
      <c r="L354" s="4" t="s">
        <v>21</v>
      </c>
      <c r="M354" s="1">
        <f>VLOOKUP(Employees!A354,Performance!A353:E853,3,0)</f>
        <v>1</v>
      </c>
    </row>
    <row r="355" spans="1:13" x14ac:dyDescent="0.3">
      <c r="A355" s="5" t="s">
        <v>1085</v>
      </c>
      <c r="B355" s="5" t="s">
        <v>71</v>
      </c>
      <c r="C355" s="5" t="s">
        <v>95</v>
      </c>
      <c r="D355" s="5" t="s">
        <v>15</v>
      </c>
      <c r="E355" s="5">
        <v>31</v>
      </c>
      <c r="F355" s="5" t="s">
        <v>25</v>
      </c>
      <c r="G355" s="5" t="s">
        <v>40</v>
      </c>
      <c r="H355" s="5" t="s">
        <v>1086</v>
      </c>
      <c r="I355" s="5">
        <v>114818</v>
      </c>
      <c r="J355" s="5" t="s">
        <v>34</v>
      </c>
      <c r="K355" s="5" t="s">
        <v>1087</v>
      </c>
      <c r="L355" s="5" t="s">
        <v>36</v>
      </c>
      <c r="M355" s="1">
        <f>VLOOKUP(Employees!A355,Performance!A354:E854,3,0)</f>
        <v>1</v>
      </c>
    </row>
    <row r="356" spans="1:13" x14ac:dyDescent="0.3">
      <c r="A356" s="4" t="s">
        <v>1088</v>
      </c>
      <c r="B356" s="4" t="s">
        <v>54</v>
      </c>
      <c r="C356" s="4" t="s">
        <v>14</v>
      </c>
      <c r="D356" s="4" t="s">
        <v>15</v>
      </c>
      <c r="E356" s="4">
        <v>39</v>
      </c>
      <c r="F356" s="4" t="s">
        <v>31</v>
      </c>
      <c r="G356" s="4" t="s">
        <v>108</v>
      </c>
      <c r="H356" s="4" t="s">
        <v>1089</v>
      </c>
      <c r="I356" s="4">
        <v>82417</v>
      </c>
      <c r="J356" s="4" t="s">
        <v>34</v>
      </c>
      <c r="K356" s="4" t="s">
        <v>1090</v>
      </c>
      <c r="L356" s="4" t="s">
        <v>36</v>
      </c>
      <c r="M356" s="1">
        <f>VLOOKUP(Employees!A356,Performance!A355:E855,3,0)</f>
        <v>5</v>
      </c>
    </row>
    <row r="357" spans="1:13" x14ac:dyDescent="0.3">
      <c r="A357" s="5" t="s">
        <v>1091</v>
      </c>
      <c r="B357" s="5" t="s">
        <v>54</v>
      </c>
      <c r="C357" s="5" t="s">
        <v>90</v>
      </c>
      <c r="D357" s="5" t="s">
        <v>24</v>
      </c>
      <c r="E357" s="5">
        <v>38</v>
      </c>
      <c r="F357" s="5" t="s">
        <v>39</v>
      </c>
      <c r="G357" s="5" t="s">
        <v>17</v>
      </c>
      <c r="H357" s="5" t="s">
        <v>1092</v>
      </c>
      <c r="I357" s="5">
        <v>116569</v>
      </c>
      <c r="J357" s="5" t="s">
        <v>80</v>
      </c>
      <c r="K357" s="5" t="s">
        <v>1093</v>
      </c>
      <c r="L357" s="5" t="s">
        <v>21</v>
      </c>
      <c r="M357" s="1">
        <f>VLOOKUP(Employees!A357,Performance!A356:E856,3,0)</f>
        <v>1</v>
      </c>
    </row>
    <row r="358" spans="1:13" x14ac:dyDescent="0.3">
      <c r="A358" s="4" t="s">
        <v>1094</v>
      </c>
      <c r="B358" s="4" t="s">
        <v>58</v>
      </c>
      <c r="C358" s="4" t="s">
        <v>83</v>
      </c>
      <c r="D358" s="4" t="s">
        <v>24</v>
      </c>
      <c r="E358" s="4">
        <v>37</v>
      </c>
      <c r="F358" s="4" t="s">
        <v>50</v>
      </c>
      <c r="G358" s="4" t="s">
        <v>26</v>
      </c>
      <c r="H358" s="4" t="s">
        <v>1095</v>
      </c>
      <c r="I358" s="4">
        <v>98489</v>
      </c>
      <c r="J358" s="4" t="s">
        <v>60</v>
      </c>
      <c r="K358" s="4" t="s">
        <v>1096</v>
      </c>
      <c r="L358" s="4" t="s">
        <v>36</v>
      </c>
      <c r="M358" s="1">
        <f>VLOOKUP(Employees!A358,Performance!A357:E857,3,0)</f>
        <v>4</v>
      </c>
    </row>
    <row r="359" spans="1:13" x14ac:dyDescent="0.3">
      <c r="A359" s="5" t="s">
        <v>1097</v>
      </c>
      <c r="B359" s="5" t="s">
        <v>58</v>
      </c>
      <c r="C359" s="5" t="s">
        <v>95</v>
      </c>
      <c r="D359" s="5" t="s">
        <v>15</v>
      </c>
      <c r="E359" s="5">
        <v>58</v>
      </c>
      <c r="F359" s="5" t="s">
        <v>31</v>
      </c>
      <c r="G359" s="5" t="s">
        <v>26</v>
      </c>
      <c r="H359" s="5" t="s">
        <v>1098</v>
      </c>
      <c r="I359" s="5">
        <v>60665</v>
      </c>
      <c r="J359" s="5" t="s">
        <v>60</v>
      </c>
      <c r="K359" s="5" t="s">
        <v>1099</v>
      </c>
      <c r="L359" s="5" t="s">
        <v>36</v>
      </c>
      <c r="M359" s="1">
        <f>VLOOKUP(Employees!A359,Performance!A358:E858,3,0)</f>
        <v>5</v>
      </c>
    </row>
    <row r="360" spans="1:13" x14ac:dyDescent="0.3">
      <c r="A360" s="4" t="s">
        <v>1100</v>
      </c>
      <c r="B360" s="4" t="s">
        <v>30</v>
      </c>
      <c r="C360" s="4" t="s">
        <v>130</v>
      </c>
      <c r="D360" s="4" t="s">
        <v>24</v>
      </c>
      <c r="E360" s="4">
        <v>59</v>
      </c>
      <c r="F360" s="4" t="s">
        <v>25</v>
      </c>
      <c r="G360" s="4" t="s">
        <v>40</v>
      </c>
      <c r="H360" s="4" t="s">
        <v>1101</v>
      </c>
      <c r="I360" s="4">
        <v>91685</v>
      </c>
      <c r="J360" s="4" t="s">
        <v>19</v>
      </c>
      <c r="K360" s="4" t="s">
        <v>1102</v>
      </c>
      <c r="L360" s="4" t="s">
        <v>36</v>
      </c>
      <c r="M360" s="1">
        <f>VLOOKUP(Employees!A360,Performance!A359:E859,3,0)</f>
        <v>3</v>
      </c>
    </row>
    <row r="361" spans="1:13" x14ac:dyDescent="0.3">
      <c r="A361" s="5" t="s">
        <v>1103</v>
      </c>
      <c r="B361" s="5" t="s">
        <v>58</v>
      </c>
      <c r="C361" s="5" t="s">
        <v>130</v>
      </c>
      <c r="D361" s="5" t="s">
        <v>15</v>
      </c>
      <c r="E361" s="5">
        <v>55</v>
      </c>
      <c r="F361" s="5" t="s">
        <v>50</v>
      </c>
      <c r="G361" s="5" t="s">
        <v>108</v>
      </c>
      <c r="H361" s="5" t="s">
        <v>1104</v>
      </c>
      <c r="I361" s="5">
        <v>76843</v>
      </c>
      <c r="J361" s="5" t="s">
        <v>60</v>
      </c>
      <c r="K361" s="5" t="s">
        <v>1105</v>
      </c>
      <c r="L361" s="5" t="s">
        <v>21</v>
      </c>
      <c r="M361" s="1">
        <f>VLOOKUP(Employees!A361,Performance!A360:E860,3,0)</f>
        <v>3</v>
      </c>
    </row>
    <row r="362" spans="1:13" x14ac:dyDescent="0.3">
      <c r="A362" s="4" t="s">
        <v>1106</v>
      </c>
      <c r="B362" s="4" t="s">
        <v>58</v>
      </c>
      <c r="C362" s="4" t="s">
        <v>14</v>
      </c>
      <c r="D362" s="4" t="s">
        <v>24</v>
      </c>
      <c r="E362" s="4">
        <v>35</v>
      </c>
      <c r="F362" s="4" t="s">
        <v>39</v>
      </c>
      <c r="G362" s="4" t="s">
        <v>40</v>
      </c>
      <c r="H362" s="4" t="s">
        <v>1107</v>
      </c>
      <c r="I362" s="4">
        <v>91860</v>
      </c>
      <c r="J362" s="4" t="s">
        <v>60</v>
      </c>
      <c r="K362" s="4" t="s">
        <v>1108</v>
      </c>
      <c r="L362" s="4" t="s">
        <v>21</v>
      </c>
      <c r="M362" s="1">
        <f>VLOOKUP(Employees!A362,Performance!A361:E861,3,0)</f>
        <v>4</v>
      </c>
    </row>
    <row r="363" spans="1:13" x14ac:dyDescent="0.3">
      <c r="A363" s="5" t="s">
        <v>1109</v>
      </c>
      <c r="B363" s="5" t="s">
        <v>71</v>
      </c>
      <c r="C363" s="5" t="s">
        <v>14</v>
      </c>
      <c r="D363" s="5" t="s">
        <v>24</v>
      </c>
      <c r="E363" s="5">
        <v>60</v>
      </c>
      <c r="F363" s="5" t="s">
        <v>16</v>
      </c>
      <c r="G363" s="5" t="s">
        <v>17</v>
      </c>
      <c r="H363" s="5" t="s">
        <v>1110</v>
      </c>
      <c r="I363" s="5">
        <v>117041</v>
      </c>
      <c r="J363" s="5" t="s">
        <v>19</v>
      </c>
      <c r="K363" s="5" t="s">
        <v>1111</v>
      </c>
      <c r="L363" s="5" t="s">
        <v>36</v>
      </c>
      <c r="M363" s="1">
        <f>VLOOKUP(Employees!A363,Performance!A362:E862,3,0)</f>
        <v>5</v>
      </c>
    </row>
    <row r="364" spans="1:13" x14ac:dyDescent="0.3">
      <c r="A364" s="4" t="s">
        <v>1112</v>
      </c>
      <c r="B364" s="4" t="s">
        <v>13</v>
      </c>
      <c r="C364" s="4" t="s">
        <v>14</v>
      </c>
      <c r="D364" s="4" t="s">
        <v>24</v>
      </c>
      <c r="E364" s="4">
        <v>45</v>
      </c>
      <c r="F364" s="4" t="s">
        <v>31</v>
      </c>
      <c r="G364" s="4" t="s">
        <v>108</v>
      </c>
      <c r="H364" s="4" t="s">
        <v>1113</v>
      </c>
      <c r="I364" s="4">
        <v>93769</v>
      </c>
      <c r="J364" s="4" t="s">
        <v>80</v>
      </c>
      <c r="K364" s="4" t="s">
        <v>1114</v>
      </c>
      <c r="L364" s="4" t="s">
        <v>21</v>
      </c>
      <c r="M364" s="1">
        <f>VLOOKUP(Employees!A364,Performance!A363:E863,3,0)</f>
        <v>5</v>
      </c>
    </row>
    <row r="365" spans="1:13" x14ac:dyDescent="0.3">
      <c r="A365" s="5" t="s">
        <v>1115</v>
      </c>
      <c r="B365" s="5" t="s">
        <v>143</v>
      </c>
      <c r="C365" s="5" t="s">
        <v>165</v>
      </c>
      <c r="D365" s="5" t="s">
        <v>24</v>
      </c>
      <c r="E365" s="5">
        <v>37</v>
      </c>
      <c r="F365" s="5" t="s">
        <v>50</v>
      </c>
      <c r="G365" s="5" t="s">
        <v>108</v>
      </c>
      <c r="H365" s="5" t="s">
        <v>1116</v>
      </c>
      <c r="I365" s="5">
        <v>43224</v>
      </c>
      <c r="J365" s="5" t="s">
        <v>34</v>
      </c>
      <c r="K365" s="5" t="s">
        <v>1117</v>
      </c>
      <c r="L365" s="5" t="s">
        <v>21</v>
      </c>
      <c r="M365" s="1">
        <f>VLOOKUP(Employees!A365,Performance!A364:E864,3,0)</f>
        <v>3</v>
      </c>
    </row>
    <row r="366" spans="1:13" x14ac:dyDescent="0.3">
      <c r="A366" s="4" t="s">
        <v>1118</v>
      </c>
      <c r="B366" s="4" t="s">
        <v>143</v>
      </c>
      <c r="C366" s="4" t="s">
        <v>14</v>
      </c>
      <c r="D366" s="4" t="s">
        <v>24</v>
      </c>
      <c r="E366" s="4">
        <v>43</v>
      </c>
      <c r="F366" s="4" t="s">
        <v>50</v>
      </c>
      <c r="G366" s="4" t="s">
        <v>26</v>
      </c>
      <c r="H366" s="4" t="s">
        <v>1119</v>
      </c>
      <c r="I366" s="4">
        <v>101866</v>
      </c>
      <c r="J366" s="4" t="s">
        <v>80</v>
      </c>
      <c r="K366" s="4" t="s">
        <v>1120</v>
      </c>
      <c r="L366" s="4" t="s">
        <v>36</v>
      </c>
      <c r="M366" s="1">
        <f>VLOOKUP(Employees!A366,Performance!A365:E865,3,0)</f>
        <v>3</v>
      </c>
    </row>
    <row r="367" spans="1:13" x14ac:dyDescent="0.3">
      <c r="A367" s="5" t="s">
        <v>1121</v>
      </c>
      <c r="B367" s="5" t="s">
        <v>49</v>
      </c>
      <c r="C367" s="5" t="s">
        <v>95</v>
      </c>
      <c r="D367" s="5" t="s">
        <v>15</v>
      </c>
      <c r="E367" s="5">
        <v>56</v>
      </c>
      <c r="F367" s="5" t="s">
        <v>39</v>
      </c>
      <c r="G367" s="5" t="s">
        <v>40</v>
      </c>
      <c r="H367" s="5" t="s">
        <v>1122</v>
      </c>
      <c r="I367" s="5">
        <v>101636</v>
      </c>
      <c r="J367" s="5" t="s">
        <v>80</v>
      </c>
      <c r="K367" s="5" t="s">
        <v>1123</v>
      </c>
      <c r="L367" s="5" t="s">
        <v>36</v>
      </c>
      <c r="M367" s="1">
        <f>VLOOKUP(Employees!A367,Performance!A366:E866,3,0)</f>
        <v>3</v>
      </c>
    </row>
    <row r="368" spans="1:13" x14ac:dyDescent="0.3">
      <c r="A368" s="4" t="s">
        <v>1124</v>
      </c>
      <c r="B368" s="4" t="s">
        <v>54</v>
      </c>
      <c r="C368" s="4" t="s">
        <v>78</v>
      </c>
      <c r="D368" s="4" t="s">
        <v>24</v>
      </c>
      <c r="E368" s="4">
        <v>42</v>
      </c>
      <c r="F368" s="4" t="s">
        <v>25</v>
      </c>
      <c r="G368" s="4" t="s">
        <v>17</v>
      </c>
      <c r="H368" s="4" t="s">
        <v>1125</v>
      </c>
      <c r="I368" s="4">
        <v>106833</v>
      </c>
      <c r="J368" s="4" t="s">
        <v>19</v>
      </c>
      <c r="K368" s="4" t="s">
        <v>1126</v>
      </c>
      <c r="L368" s="4" t="s">
        <v>36</v>
      </c>
      <c r="M368" s="1">
        <f>VLOOKUP(Employees!A368,Performance!A367:E867,3,0)</f>
        <v>5</v>
      </c>
    </row>
    <row r="369" spans="1:13" x14ac:dyDescent="0.3">
      <c r="A369" s="5" t="s">
        <v>1127</v>
      </c>
      <c r="B369" s="5" t="s">
        <v>30</v>
      </c>
      <c r="C369" s="5" t="s">
        <v>45</v>
      </c>
      <c r="D369" s="5" t="s">
        <v>15</v>
      </c>
      <c r="E369" s="5">
        <v>42</v>
      </c>
      <c r="F369" s="5" t="s">
        <v>16</v>
      </c>
      <c r="G369" s="5" t="s">
        <v>32</v>
      </c>
      <c r="H369" s="5" t="s">
        <v>1128</v>
      </c>
      <c r="I369" s="5">
        <v>75163</v>
      </c>
      <c r="J369" s="5" t="s">
        <v>34</v>
      </c>
      <c r="K369" s="5" t="s">
        <v>1129</v>
      </c>
      <c r="L369" s="5" t="s">
        <v>21</v>
      </c>
      <c r="M369" s="1">
        <f>VLOOKUP(Employees!A369,Performance!A368:E868,3,0)</f>
        <v>2</v>
      </c>
    </row>
    <row r="370" spans="1:13" x14ac:dyDescent="0.3">
      <c r="A370" s="4" t="s">
        <v>1130</v>
      </c>
      <c r="B370" s="4" t="s">
        <v>58</v>
      </c>
      <c r="C370" s="4" t="s">
        <v>130</v>
      </c>
      <c r="D370" s="4" t="s">
        <v>24</v>
      </c>
      <c r="E370" s="4">
        <v>41</v>
      </c>
      <c r="F370" s="4" t="s">
        <v>50</v>
      </c>
      <c r="G370" s="4" t="s">
        <v>26</v>
      </c>
      <c r="H370" s="4" t="s">
        <v>1131</v>
      </c>
      <c r="I370" s="4">
        <v>86763</v>
      </c>
      <c r="J370" s="4" t="s">
        <v>60</v>
      </c>
      <c r="K370" s="4" t="s">
        <v>1132</v>
      </c>
      <c r="L370" s="4" t="s">
        <v>36</v>
      </c>
      <c r="M370" s="1">
        <f>VLOOKUP(Employees!A370,Performance!A369:E869,3,0)</f>
        <v>5</v>
      </c>
    </row>
    <row r="371" spans="1:13" x14ac:dyDescent="0.3">
      <c r="A371" s="5" t="s">
        <v>1133</v>
      </c>
      <c r="B371" s="5" t="s">
        <v>94</v>
      </c>
      <c r="C371" s="5" t="s">
        <v>130</v>
      </c>
      <c r="D371" s="5" t="s">
        <v>15</v>
      </c>
      <c r="E371" s="5">
        <v>49</v>
      </c>
      <c r="F371" s="5" t="s">
        <v>50</v>
      </c>
      <c r="G371" s="5" t="s">
        <v>40</v>
      </c>
      <c r="H371" s="5" t="s">
        <v>1134</v>
      </c>
      <c r="I371" s="5">
        <v>54974</v>
      </c>
      <c r="J371" s="5" t="s">
        <v>80</v>
      </c>
      <c r="K371" s="5" t="s">
        <v>1135</v>
      </c>
      <c r="L371" s="5" t="s">
        <v>36</v>
      </c>
      <c r="M371" s="1">
        <f>VLOOKUP(Employees!A371,Performance!A370:E870,3,0)</f>
        <v>2</v>
      </c>
    </row>
    <row r="372" spans="1:13" x14ac:dyDescent="0.3">
      <c r="A372" s="4" t="s">
        <v>1136</v>
      </c>
      <c r="B372" s="4" t="s">
        <v>143</v>
      </c>
      <c r="C372" s="4" t="s">
        <v>63</v>
      </c>
      <c r="D372" s="4" t="s">
        <v>15</v>
      </c>
      <c r="E372" s="4">
        <v>30</v>
      </c>
      <c r="F372" s="4" t="s">
        <v>31</v>
      </c>
      <c r="G372" s="4" t="s">
        <v>32</v>
      </c>
      <c r="H372" s="4" t="s">
        <v>1137</v>
      </c>
      <c r="I372" s="4">
        <v>74728</v>
      </c>
      <c r="J372" s="4" t="s">
        <v>19</v>
      </c>
      <c r="K372" s="4" t="s">
        <v>1138</v>
      </c>
      <c r="L372" s="4" t="s">
        <v>36</v>
      </c>
      <c r="M372" s="1">
        <f>VLOOKUP(Employees!A372,Performance!A371:E871,3,0)</f>
        <v>4</v>
      </c>
    </row>
    <row r="373" spans="1:13" x14ac:dyDescent="0.3">
      <c r="A373" s="5" t="s">
        <v>1139</v>
      </c>
      <c r="B373" s="5" t="s">
        <v>13</v>
      </c>
      <c r="C373" s="5" t="s">
        <v>130</v>
      </c>
      <c r="D373" s="5" t="s">
        <v>24</v>
      </c>
      <c r="E373" s="5">
        <v>58</v>
      </c>
      <c r="F373" s="5" t="s">
        <v>31</v>
      </c>
      <c r="G373" s="5" t="s">
        <v>40</v>
      </c>
      <c r="H373" s="5" t="s">
        <v>196</v>
      </c>
      <c r="I373" s="5">
        <v>88207</v>
      </c>
      <c r="J373" s="5" t="s">
        <v>80</v>
      </c>
      <c r="K373" s="5" t="s">
        <v>1140</v>
      </c>
      <c r="L373" s="5" t="s">
        <v>36</v>
      </c>
      <c r="M373" s="1">
        <f>VLOOKUP(Employees!A373,Performance!A372:E872,3,0)</f>
        <v>1</v>
      </c>
    </row>
    <row r="374" spans="1:13" x14ac:dyDescent="0.3">
      <c r="A374" s="4" t="s">
        <v>1141</v>
      </c>
      <c r="B374" s="4" t="s">
        <v>30</v>
      </c>
      <c r="C374" s="4" t="s">
        <v>78</v>
      </c>
      <c r="D374" s="4" t="s">
        <v>24</v>
      </c>
      <c r="E374" s="4">
        <v>56</v>
      </c>
      <c r="F374" s="4" t="s">
        <v>39</v>
      </c>
      <c r="G374" s="4" t="s">
        <v>40</v>
      </c>
      <c r="H374" s="4" t="s">
        <v>618</v>
      </c>
      <c r="I374" s="4">
        <v>96878</v>
      </c>
      <c r="J374" s="4" t="s">
        <v>60</v>
      </c>
      <c r="K374" s="4" t="s">
        <v>1142</v>
      </c>
      <c r="L374" s="4" t="s">
        <v>21</v>
      </c>
      <c r="M374" s="1">
        <f>VLOOKUP(Employees!A374,Performance!A373:E873,3,0)</f>
        <v>5</v>
      </c>
    </row>
    <row r="375" spans="1:13" x14ac:dyDescent="0.3">
      <c r="A375" s="5" t="s">
        <v>1143</v>
      </c>
      <c r="B375" s="5" t="s">
        <v>54</v>
      </c>
      <c r="C375" s="5" t="s">
        <v>90</v>
      </c>
      <c r="D375" s="5" t="s">
        <v>15</v>
      </c>
      <c r="E375" s="5">
        <v>27</v>
      </c>
      <c r="F375" s="5" t="s">
        <v>25</v>
      </c>
      <c r="G375" s="5" t="s">
        <v>40</v>
      </c>
      <c r="H375" s="5" t="s">
        <v>1144</v>
      </c>
      <c r="I375" s="5">
        <v>49341</v>
      </c>
      <c r="J375" s="5" t="s">
        <v>60</v>
      </c>
      <c r="K375" s="5" t="s">
        <v>1145</v>
      </c>
      <c r="L375" s="5" t="s">
        <v>36</v>
      </c>
      <c r="M375" s="1">
        <f>VLOOKUP(Employees!A375,Performance!A374:E874,3,0)</f>
        <v>5</v>
      </c>
    </row>
    <row r="376" spans="1:13" x14ac:dyDescent="0.3">
      <c r="A376" s="4" t="s">
        <v>1146</v>
      </c>
      <c r="B376" s="4" t="s">
        <v>13</v>
      </c>
      <c r="C376" s="4" t="s">
        <v>165</v>
      </c>
      <c r="D376" s="4" t="s">
        <v>15</v>
      </c>
      <c r="E376" s="4">
        <v>57</v>
      </c>
      <c r="F376" s="4" t="s">
        <v>39</v>
      </c>
      <c r="G376" s="4" t="s">
        <v>26</v>
      </c>
      <c r="H376" s="4" t="s">
        <v>1147</v>
      </c>
      <c r="I376" s="4">
        <v>87757</v>
      </c>
      <c r="J376" s="4" t="s">
        <v>19</v>
      </c>
      <c r="K376" s="4" t="s">
        <v>1148</v>
      </c>
      <c r="L376" s="4" t="s">
        <v>21</v>
      </c>
      <c r="M376" s="1">
        <f>VLOOKUP(Employees!A376,Performance!A375:E875,3,0)</f>
        <v>3</v>
      </c>
    </row>
    <row r="377" spans="1:13" x14ac:dyDescent="0.3">
      <c r="A377" s="5" t="s">
        <v>1149</v>
      </c>
      <c r="B377" s="5" t="s">
        <v>94</v>
      </c>
      <c r="C377" s="5" t="s">
        <v>14</v>
      </c>
      <c r="D377" s="5" t="s">
        <v>15</v>
      </c>
      <c r="E377" s="5">
        <v>28</v>
      </c>
      <c r="F377" s="5" t="s">
        <v>50</v>
      </c>
      <c r="G377" s="5" t="s">
        <v>17</v>
      </c>
      <c r="H377" s="5" t="s">
        <v>1150</v>
      </c>
      <c r="I377" s="5">
        <v>113590</v>
      </c>
      <c r="J377" s="5" t="s">
        <v>19</v>
      </c>
      <c r="K377" s="5" t="s">
        <v>1151</v>
      </c>
      <c r="L377" s="5" t="s">
        <v>36</v>
      </c>
      <c r="M377" s="1">
        <f>VLOOKUP(Employees!A377,Performance!A376:E876,3,0)</f>
        <v>3</v>
      </c>
    </row>
    <row r="378" spans="1:13" x14ac:dyDescent="0.3">
      <c r="A378" s="4" t="s">
        <v>1152</v>
      </c>
      <c r="B378" s="4" t="s">
        <v>54</v>
      </c>
      <c r="C378" s="4" t="s">
        <v>90</v>
      </c>
      <c r="D378" s="4" t="s">
        <v>15</v>
      </c>
      <c r="E378" s="4">
        <v>37</v>
      </c>
      <c r="F378" s="4" t="s">
        <v>16</v>
      </c>
      <c r="G378" s="4" t="s">
        <v>32</v>
      </c>
      <c r="H378" s="4" t="s">
        <v>1153</v>
      </c>
      <c r="I378" s="4">
        <v>82897</v>
      </c>
      <c r="J378" s="4" t="s">
        <v>34</v>
      </c>
      <c r="K378" s="4" t="s">
        <v>1154</v>
      </c>
      <c r="L378" s="4" t="s">
        <v>21</v>
      </c>
      <c r="M378" s="1">
        <f>VLOOKUP(Employees!A378,Performance!A377:E877,3,0)</f>
        <v>1</v>
      </c>
    </row>
    <row r="379" spans="1:13" x14ac:dyDescent="0.3">
      <c r="A379" s="5" t="s">
        <v>1155</v>
      </c>
      <c r="B379" s="5" t="s">
        <v>94</v>
      </c>
      <c r="C379" s="5" t="s">
        <v>90</v>
      </c>
      <c r="D379" s="5" t="s">
        <v>15</v>
      </c>
      <c r="E379" s="5">
        <v>37</v>
      </c>
      <c r="F379" s="5" t="s">
        <v>25</v>
      </c>
      <c r="G379" s="5" t="s">
        <v>32</v>
      </c>
      <c r="H379" s="5" t="s">
        <v>1156</v>
      </c>
      <c r="I379" s="5">
        <v>69652</v>
      </c>
      <c r="J379" s="5" t="s">
        <v>65</v>
      </c>
      <c r="K379" s="5" t="s">
        <v>1157</v>
      </c>
      <c r="L379" s="5" t="s">
        <v>36</v>
      </c>
      <c r="M379" s="1">
        <f>VLOOKUP(Employees!A379,Performance!A378:E878,3,0)</f>
        <v>3</v>
      </c>
    </row>
    <row r="380" spans="1:13" x14ac:dyDescent="0.3">
      <c r="A380" s="4" t="s">
        <v>1158</v>
      </c>
      <c r="B380" s="4" t="s">
        <v>58</v>
      </c>
      <c r="C380" s="4" t="s">
        <v>14</v>
      </c>
      <c r="D380" s="4" t="s">
        <v>15</v>
      </c>
      <c r="E380" s="4">
        <v>22</v>
      </c>
      <c r="F380" s="4" t="s">
        <v>25</v>
      </c>
      <c r="G380" s="4" t="s">
        <v>108</v>
      </c>
      <c r="H380" s="4" t="s">
        <v>1159</v>
      </c>
      <c r="I380" s="4">
        <v>92754</v>
      </c>
      <c r="J380" s="4" t="s">
        <v>19</v>
      </c>
      <c r="K380" s="4" t="s">
        <v>1160</v>
      </c>
      <c r="L380" s="4" t="s">
        <v>21</v>
      </c>
      <c r="M380" s="1">
        <f>VLOOKUP(Employees!A380,Performance!A379:E879,3,0)</f>
        <v>3</v>
      </c>
    </row>
    <row r="381" spans="1:13" x14ac:dyDescent="0.3">
      <c r="A381" s="5" t="s">
        <v>1161</v>
      </c>
      <c r="B381" s="5" t="s">
        <v>49</v>
      </c>
      <c r="C381" s="5" t="s">
        <v>14</v>
      </c>
      <c r="D381" s="5" t="s">
        <v>24</v>
      </c>
      <c r="E381" s="5">
        <v>24</v>
      </c>
      <c r="F381" s="5" t="s">
        <v>25</v>
      </c>
      <c r="G381" s="5" t="s">
        <v>17</v>
      </c>
      <c r="H381" s="5" t="s">
        <v>1162</v>
      </c>
      <c r="I381" s="5">
        <v>65180</v>
      </c>
      <c r="J381" s="5" t="s">
        <v>65</v>
      </c>
      <c r="K381" s="5" t="s">
        <v>1163</v>
      </c>
      <c r="L381" s="5" t="s">
        <v>21</v>
      </c>
      <c r="M381" s="1">
        <f>VLOOKUP(Employees!A381,Performance!A380:E880,3,0)</f>
        <v>2</v>
      </c>
    </row>
    <row r="382" spans="1:13" x14ac:dyDescent="0.3">
      <c r="A382" s="4" t="s">
        <v>1164</v>
      </c>
      <c r="B382" s="4" t="s">
        <v>38</v>
      </c>
      <c r="C382" s="4" t="s">
        <v>63</v>
      </c>
      <c r="D382" s="4" t="s">
        <v>15</v>
      </c>
      <c r="E382" s="4">
        <v>60</v>
      </c>
      <c r="F382" s="4" t="s">
        <v>31</v>
      </c>
      <c r="G382" s="4" t="s">
        <v>26</v>
      </c>
      <c r="H382" s="4" t="s">
        <v>258</v>
      </c>
      <c r="I382" s="4">
        <v>93081</v>
      </c>
      <c r="J382" s="4" t="s">
        <v>65</v>
      </c>
      <c r="K382" s="4" t="s">
        <v>1165</v>
      </c>
      <c r="L382" s="4" t="s">
        <v>21</v>
      </c>
      <c r="M382" s="1">
        <f>VLOOKUP(Employees!A382,Performance!A381:E881,3,0)</f>
        <v>4</v>
      </c>
    </row>
    <row r="383" spans="1:13" x14ac:dyDescent="0.3">
      <c r="A383" s="5" t="s">
        <v>1166</v>
      </c>
      <c r="B383" s="5" t="s">
        <v>38</v>
      </c>
      <c r="C383" s="5" t="s">
        <v>63</v>
      </c>
      <c r="D383" s="5" t="s">
        <v>15</v>
      </c>
      <c r="E383" s="5">
        <v>57</v>
      </c>
      <c r="F383" s="5" t="s">
        <v>25</v>
      </c>
      <c r="G383" s="5" t="s">
        <v>32</v>
      </c>
      <c r="H383" s="5" t="s">
        <v>1167</v>
      </c>
      <c r="I383" s="5">
        <v>91007</v>
      </c>
      <c r="J383" s="5" t="s">
        <v>60</v>
      </c>
      <c r="K383" s="5" t="s">
        <v>1168</v>
      </c>
      <c r="L383" s="5" t="s">
        <v>36</v>
      </c>
      <c r="M383" s="1">
        <f>VLOOKUP(Employees!A383,Performance!A382:E882,3,0)</f>
        <v>3</v>
      </c>
    </row>
    <row r="384" spans="1:13" x14ac:dyDescent="0.3">
      <c r="A384" s="4" t="s">
        <v>1169</v>
      </c>
      <c r="B384" s="4" t="s">
        <v>44</v>
      </c>
      <c r="C384" s="4" t="s">
        <v>130</v>
      </c>
      <c r="D384" s="4" t="s">
        <v>15</v>
      </c>
      <c r="E384" s="4">
        <v>32</v>
      </c>
      <c r="F384" s="4" t="s">
        <v>25</v>
      </c>
      <c r="G384" s="4" t="s">
        <v>40</v>
      </c>
      <c r="H384" s="4" t="s">
        <v>1170</v>
      </c>
      <c r="I384" s="4">
        <v>88127</v>
      </c>
      <c r="J384" s="4" t="s">
        <v>65</v>
      </c>
      <c r="K384" s="4" t="s">
        <v>1171</v>
      </c>
      <c r="L384" s="4" t="s">
        <v>21</v>
      </c>
      <c r="M384" s="1">
        <f>VLOOKUP(Employees!A384,Performance!A383:E883,3,0)</f>
        <v>4</v>
      </c>
    </row>
    <row r="385" spans="1:13" x14ac:dyDescent="0.3">
      <c r="A385" s="5" t="s">
        <v>1172</v>
      </c>
      <c r="B385" s="5" t="s">
        <v>30</v>
      </c>
      <c r="C385" s="5" t="s">
        <v>78</v>
      </c>
      <c r="D385" s="5" t="s">
        <v>24</v>
      </c>
      <c r="E385" s="5">
        <v>34</v>
      </c>
      <c r="F385" s="5" t="s">
        <v>16</v>
      </c>
      <c r="G385" s="5" t="s">
        <v>26</v>
      </c>
      <c r="H385" s="5" t="s">
        <v>1173</v>
      </c>
      <c r="I385" s="5">
        <v>70318</v>
      </c>
      <c r="J385" s="5" t="s">
        <v>19</v>
      </c>
      <c r="K385" s="5" t="s">
        <v>1174</v>
      </c>
      <c r="L385" s="5" t="s">
        <v>36</v>
      </c>
      <c r="M385" s="1">
        <f>VLOOKUP(Employees!A385,Performance!A384:E884,3,0)</f>
        <v>2</v>
      </c>
    </row>
    <row r="386" spans="1:13" x14ac:dyDescent="0.3">
      <c r="A386" s="4" t="s">
        <v>1175</v>
      </c>
      <c r="B386" s="4" t="s">
        <v>30</v>
      </c>
      <c r="C386" s="4" t="s">
        <v>95</v>
      </c>
      <c r="D386" s="4" t="s">
        <v>15</v>
      </c>
      <c r="E386" s="4">
        <v>31</v>
      </c>
      <c r="F386" s="4" t="s">
        <v>31</v>
      </c>
      <c r="G386" s="4" t="s">
        <v>108</v>
      </c>
      <c r="H386" s="4" t="s">
        <v>566</v>
      </c>
      <c r="I386" s="4">
        <v>47884</v>
      </c>
      <c r="J386" s="4" t="s">
        <v>34</v>
      </c>
      <c r="K386" s="4" t="s">
        <v>1176</v>
      </c>
      <c r="L386" s="4" t="s">
        <v>21</v>
      </c>
      <c r="M386" s="1">
        <f>VLOOKUP(Employees!A386,Performance!A385:E885,3,0)</f>
        <v>4</v>
      </c>
    </row>
    <row r="387" spans="1:13" x14ac:dyDescent="0.3">
      <c r="A387" s="5" t="s">
        <v>1177</v>
      </c>
      <c r="B387" s="5" t="s">
        <v>143</v>
      </c>
      <c r="C387" s="5" t="s">
        <v>14</v>
      </c>
      <c r="D387" s="5" t="s">
        <v>15</v>
      </c>
      <c r="E387" s="5">
        <v>48</v>
      </c>
      <c r="F387" s="5" t="s">
        <v>50</v>
      </c>
      <c r="G387" s="5" t="s">
        <v>108</v>
      </c>
      <c r="H387" s="5" t="s">
        <v>1178</v>
      </c>
      <c r="I387" s="5">
        <v>71987</v>
      </c>
      <c r="J387" s="5" t="s">
        <v>34</v>
      </c>
      <c r="K387" s="5" t="s">
        <v>1179</v>
      </c>
      <c r="L387" s="5" t="s">
        <v>36</v>
      </c>
      <c r="M387" s="1">
        <f>VLOOKUP(Employees!A387,Performance!A386:E886,3,0)</f>
        <v>4</v>
      </c>
    </row>
    <row r="388" spans="1:13" x14ac:dyDescent="0.3">
      <c r="A388" s="4" t="s">
        <v>1180</v>
      </c>
      <c r="B388" s="4" t="s">
        <v>58</v>
      </c>
      <c r="C388" s="4" t="s">
        <v>130</v>
      </c>
      <c r="D388" s="4" t="s">
        <v>24</v>
      </c>
      <c r="E388" s="4">
        <v>52</v>
      </c>
      <c r="F388" s="4" t="s">
        <v>39</v>
      </c>
      <c r="G388" s="4" t="s">
        <v>40</v>
      </c>
      <c r="H388" s="4" t="s">
        <v>1181</v>
      </c>
      <c r="I388" s="4">
        <v>108773</v>
      </c>
      <c r="J388" s="4" t="s">
        <v>60</v>
      </c>
      <c r="K388" s="4" t="s">
        <v>1182</v>
      </c>
      <c r="L388" s="4" t="s">
        <v>36</v>
      </c>
      <c r="M388" s="1">
        <f>VLOOKUP(Employees!A388,Performance!A387:E887,3,0)</f>
        <v>1</v>
      </c>
    </row>
    <row r="389" spans="1:13" x14ac:dyDescent="0.3">
      <c r="A389" s="5" t="s">
        <v>1183</v>
      </c>
      <c r="B389" s="5" t="s">
        <v>71</v>
      </c>
      <c r="C389" s="5" t="s">
        <v>130</v>
      </c>
      <c r="D389" s="5" t="s">
        <v>15</v>
      </c>
      <c r="E389" s="5">
        <v>58</v>
      </c>
      <c r="F389" s="5" t="s">
        <v>25</v>
      </c>
      <c r="G389" s="5" t="s">
        <v>40</v>
      </c>
      <c r="H389" s="5" t="s">
        <v>1184</v>
      </c>
      <c r="I389" s="5">
        <v>115133</v>
      </c>
      <c r="J389" s="5" t="s">
        <v>34</v>
      </c>
      <c r="K389" s="5" t="s">
        <v>1185</v>
      </c>
      <c r="L389" s="5" t="s">
        <v>21</v>
      </c>
      <c r="M389" s="1">
        <f>VLOOKUP(Employees!A389,Performance!A388:E888,3,0)</f>
        <v>1</v>
      </c>
    </row>
    <row r="390" spans="1:13" x14ac:dyDescent="0.3">
      <c r="A390" s="4" t="s">
        <v>1186</v>
      </c>
      <c r="B390" s="4" t="s">
        <v>94</v>
      </c>
      <c r="C390" s="4" t="s">
        <v>165</v>
      </c>
      <c r="D390" s="4" t="s">
        <v>24</v>
      </c>
      <c r="E390" s="4">
        <v>50</v>
      </c>
      <c r="F390" s="4" t="s">
        <v>16</v>
      </c>
      <c r="G390" s="4" t="s">
        <v>26</v>
      </c>
      <c r="H390" s="4" t="s">
        <v>1187</v>
      </c>
      <c r="I390" s="4">
        <v>44417</v>
      </c>
      <c r="J390" s="4" t="s">
        <v>80</v>
      </c>
      <c r="K390" s="4" t="s">
        <v>1188</v>
      </c>
      <c r="L390" s="4" t="s">
        <v>36</v>
      </c>
      <c r="M390" s="1">
        <f>VLOOKUP(Employees!A390,Performance!A389:E889,3,0)</f>
        <v>3</v>
      </c>
    </row>
    <row r="391" spans="1:13" x14ac:dyDescent="0.3">
      <c r="A391" s="5" t="s">
        <v>1189</v>
      </c>
      <c r="B391" s="5" t="s">
        <v>30</v>
      </c>
      <c r="C391" s="5" t="s">
        <v>78</v>
      </c>
      <c r="D391" s="5" t="s">
        <v>24</v>
      </c>
      <c r="E391" s="5">
        <v>46</v>
      </c>
      <c r="F391" s="5" t="s">
        <v>31</v>
      </c>
      <c r="G391" s="5" t="s">
        <v>17</v>
      </c>
      <c r="H391" s="5" t="s">
        <v>1190</v>
      </c>
      <c r="I391" s="5">
        <v>107012</v>
      </c>
      <c r="J391" s="5" t="s">
        <v>65</v>
      </c>
      <c r="K391" s="5" t="s">
        <v>1191</v>
      </c>
      <c r="L391" s="5" t="s">
        <v>21</v>
      </c>
      <c r="M391" s="1">
        <f>VLOOKUP(Employees!A391,Performance!A390:E890,3,0)</f>
        <v>5</v>
      </c>
    </row>
    <row r="392" spans="1:13" x14ac:dyDescent="0.3">
      <c r="A392" s="4" t="s">
        <v>1192</v>
      </c>
      <c r="B392" s="4" t="s">
        <v>49</v>
      </c>
      <c r="C392" s="4" t="s">
        <v>78</v>
      </c>
      <c r="D392" s="4" t="s">
        <v>15</v>
      </c>
      <c r="E392" s="4">
        <v>23</v>
      </c>
      <c r="F392" s="4" t="s">
        <v>50</v>
      </c>
      <c r="G392" s="4" t="s">
        <v>26</v>
      </c>
      <c r="H392" s="4" t="s">
        <v>1193</v>
      </c>
      <c r="I392" s="4">
        <v>78597</v>
      </c>
      <c r="J392" s="4" t="s">
        <v>34</v>
      </c>
      <c r="K392" s="4" t="s">
        <v>1194</v>
      </c>
      <c r="L392" s="4" t="s">
        <v>21</v>
      </c>
      <c r="M392" s="1">
        <f>VLOOKUP(Employees!A392,Performance!A391:E891,3,0)</f>
        <v>5</v>
      </c>
    </row>
    <row r="393" spans="1:13" x14ac:dyDescent="0.3">
      <c r="A393" s="5" t="s">
        <v>1195</v>
      </c>
      <c r="B393" s="5" t="s">
        <v>58</v>
      </c>
      <c r="C393" s="5" t="s">
        <v>90</v>
      </c>
      <c r="D393" s="5" t="s">
        <v>15</v>
      </c>
      <c r="E393" s="5">
        <v>44</v>
      </c>
      <c r="F393" s="5" t="s">
        <v>25</v>
      </c>
      <c r="G393" s="5" t="s">
        <v>108</v>
      </c>
      <c r="H393" s="5" t="s">
        <v>1196</v>
      </c>
      <c r="I393" s="5">
        <v>77085</v>
      </c>
      <c r="J393" s="5" t="s">
        <v>80</v>
      </c>
      <c r="K393" s="5" t="s">
        <v>1197</v>
      </c>
      <c r="L393" s="5" t="s">
        <v>36</v>
      </c>
      <c r="M393" s="1">
        <f>VLOOKUP(Employees!A393,Performance!A392:E892,3,0)</f>
        <v>4</v>
      </c>
    </row>
    <row r="394" spans="1:13" x14ac:dyDescent="0.3">
      <c r="A394" s="4" t="s">
        <v>1198</v>
      </c>
      <c r="B394" s="4" t="s">
        <v>44</v>
      </c>
      <c r="C394" s="4" t="s">
        <v>90</v>
      </c>
      <c r="D394" s="4" t="s">
        <v>24</v>
      </c>
      <c r="E394" s="4">
        <v>52</v>
      </c>
      <c r="F394" s="4" t="s">
        <v>50</v>
      </c>
      <c r="G394" s="4" t="s">
        <v>108</v>
      </c>
      <c r="H394" s="4" t="s">
        <v>1199</v>
      </c>
      <c r="I394" s="4">
        <v>98031</v>
      </c>
      <c r="J394" s="4" t="s">
        <v>60</v>
      </c>
      <c r="K394" s="4" t="s">
        <v>1200</v>
      </c>
      <c r="L394" s="4" t="s">
        <v>36</v>
      </c>
      <c r="M394" s="1">
        <f>VLOOKUP(Employees!A394,Performance!A393:E893,3,0)</f>
        <v>4</v>
      </c>
    </row>
    <row r="395" spans="1:13" x14ac:dyDescent="0.3">
      <c r="A395" s="5" t="s">
        <v>1201</v>
      </c>
      <c r="B395" s="5" t="s">
        <v>54</v>
      </c>
      <c r="C395" s="5" t="s">
        <v>83</v>
      </c>
      <c r="D395" s="5" t="s">
        <v>24</v>
      </c>
      <c r="E395" s="5">
        <v>47</v>
      </c>
      <c r="F395" s="5" t="s">
        <v>31</v>
      </c>
      <c r="G395" s="5" t="s">
        <v>26</v>
      </c>
      <c r="H395" s="5" t="s">
        <v>1202</v>
      </c>
      <c r="I395" s="5">
        <v>59479</v>
      </c>
      <c r="J395" s="5" t="s">
        <v>34</v>
      </c>
      <c r="K395" s="5" t="s">
        <v>1203</v>
      </c>
      <c r="L395" s="5" t="s">
        <v>36</v>
      </c>
      <c r="M395" s="1">
        <f>VLOOKUP(Employees!A395,Performance!A394:E894,3,0)</f>
        <v>4</v>
      </c>
    </row>
    <row r="396" spans="1:13" x14ac:dyDescent="0.3">
      <c r="A396" s="4" t="s">
        <v>1204</v>
      </c>
      <c r="B396" s="4" t="s">
        <v>49</v>
      </c>
      <c r="C396" s="4" t="s">
        <v>14</v>
      </c>
      <c r="D396" s="4" t="s">
        <v>24</v>
      </c>
      <c r="E396" s="4">
        <v>25</v>
      </c>
      <c r="F396" s="4" t="s">
        <v>50</v>
      </c>
      <c r="G396" s="4" t="s">
        <v>40</v>
      </c>
      <c r="H396" s="4" t="s">
        <v>1205</v>
      </c>
      <c r="I396" s="4">
        <v>82566</v>
      </c>
      <c r="J396" s="4" t="s">
        <v>19</v>
      </c>
      <c r="K396" s="4" t="s">
        <v>1206</v>
      </c>
      <c r="L396" s="4" t="s">
        <v>21</v>
      </c>
      <c r="M396" s="1">
        <f>VLOOKUP(Employees!A396,Performance!A395:E895,3,0)</f>
        <v>2</v>
      </c>
    </row>
    <row r="397" spans="1:13" x14ac:dyDescent="0.3">
      <c r="A397" s="5" t="s">
        <v>1207</v>
      </c>
      <c r="B397" s="5" t="s">
        <v>30</v>
      </c>
      <c r="C397" s="5" t="s">
        <v>165</v>
      </c>
      <c r="D397" s="5" t="s">
        <v>15</v>
      </c>
      <c r="E397" s="5">
        <v>37</v>
      </c>
      <c r="F397" s="5" t="s">
        <v>50</v>
      </c>
      <c r="G397" s="5" t="s">
        <v>40</v>
      </c>
      <c r="H397" s="5" t="s">
        <v>1208</v>
      </c>
      <c r="I397" s="5">
        <v>90050</v>
      </c>
      <c r="J397" s="5" t="s">
        <v>65</v>
      </c>
      <c r="K397" s="5" t="s">
        <v>1209</v>
      </c>
      <c r="L397" s="5" t="s">
        <v>21</v>
      </c>
      <c r="M397" s="1">
        <f>VLOOKUP(Employees!A397,Performance!A396:E896,3,0)</f>
        <v>5</v>
      </c>
    </row>
    <row r="398" spans="1:13" x14ac:dyDescent="0.3">
      <c r="A398" s="4" t="s">
        <v>1210</v>
      </c>
      <c r="B398" s="4" t="s">
        <v>38</v>
      </c>
      <c r="C398" s="4" t="s">
        <v>130</v>
      </c>
      <c r="D398" s="4" t="s">
        <v>24</v>
      </c>
      <c r="E398" s="4">
        <v>54</v>
      </c>
      <c r="F398" s="4" t="s">
        <v>16</v>
      </c>
      <c r="G398" s="4" t="s">
        <v>26</v>
      </c>
      <c r="H398" s="4" t="s">
        <v>1211</v>
      </c>
      <c r="I398" s="4">
        <v>56447</v>
      </c>
      <c r="J398" s="4" t="s">
        <v>19</v>
      </c>
      <c r="K398" s="4" t="s">
        <v>1212</v>
      </c>
      <c r="L398" s="4" t="s">
        <v>36</v>
      </c>
      <c r="M398" s="1">
        <f>VLOOKUP(Employees!A398,Performance!A397:E897,3,0)</f>
        <v>4</v>
      </c>
    </row>
    <row r="399" spans="1:13" x14ac:dyDescent="0.3">
      <c r="A399" s="5" t="s">
        <v>1213</v>
      </c>
      <c r="B399" s="5" t="s">
        <v>71</v>
      </c>
      <c r="C399" s="5" t="s">
        <v>165</v>
      </c>
      <c r="D399" s="5" t="s">
        <v>24</v>
      </c>
      <c r="E399" s="5">
        <v>47</v>
      </c>
      <c r="F399" s="5" t="s">
        <v>31</v>
      </c>
      <c r="G399" s="5" t="s">
        <v>17</v>
      </c>
      <c r="H399" s="5" t="s">
        <v>1214</v>
      </c>
      <c r="I399" s="5">
        <v>76082</v>
      </c>
      <c r="J399" s="5" t="s">
        <v>65</v>
      </c>
      <c r="K399" s="5" t="s">
        <v>1215</v>
      </c>
      <c r="L399" s="5" t="s">
        <v>36</v>
      </c>
      <c r="M399" s="1">
        <f>VLOOKUP(Employees!A399,Performance!A398:E898,3,0)</f>
        <v>3</v>
      </c>
    </row>
    <row r="400" spans="1:13" x14ac:dyDescent="0.3">
      <c r="A400" s="4" t="s">
        <v>1216</v>
      </c>
      <c r="B400" s="4" t="s">
        <v>44</v>
      </c>
      <c r="C400" s="4" t="s">
        <v>45</v>
      </c>
      <c r="D400" s="4" t="s">
        <v>24</v>
      </c>
      <c r="E400" s="4">
        <v>28</v>
      </c>
      <c r="F400" s="4" t="s">
        <v>50</v>
      </c>
      <c r="G400" s="4" t="s">
        <v>26</v>
      </c>
      <c r="H400" s="4" t="s">
        <v>621</v>
      </c>
      <c r="I400" s="4">
        <v>98535</v>
      </c>
      <c r="J400" s="4" t="s">
        <v>60</v>
      </c>
      <c r="K400" s="4" t="s">
        <v>1217</v>
      </c>
      <c r="L400" s="4" t="s">
        <v>21</v>
      </c>
      <c r="M400" s="1">
        <f>VLOOKUP(Employees!A400,Performance!A399:E899,3,0)</f>
        <v>1</v>
      </c>
    </row>
    <row r="401" spans="1:13" x14ac:dyDescent="0.3">
      <c r="A401" s="5" t="s">
        <v>1218</v>
      </c>
      <c r="B401" s="5" t="s">
        <v>94</v>
      </c>
      <c r="C401" s="5" t="s">
        <v>130</v>
      </c>
      <c r="D401" s="5" t="s">
        <v>15</v>
      </c>
      <c r="E401" s="5">
        <v>39</v>
      </c>
      <c r="F401" s="5" t="s">
        <v>16</v>
      </c>
      <c r="G401" s="5" t="s">
        <v>108</v>
      </c>
      <c r="H401" s="5" t="s">
        <v>1219</v>
      </c>
      <c r="I401" s="5">
        <v>44551</v>
      </c>
      <c r="J401" s="5" t="s">
        <v>34</v>
      </c>
      <c r="K401" s="5" t="s">
        <v>1220</v>
      </c>
      <c r="L401" s="5" t="s">
        <v>21</v>
      </c>
      <c r="M401" s="1">
        <f>VLOOKUP(Employees!A401,Performance!A400:E900,3,0)</f>
        <v>5</v>
      </c>
    </row>
    <row r="402" spans="1:13" x14ac:dyDescent="0.3">
      <c r="A402" s="4" t="s">
        <v>1221</v>
      </c>
      <c r="B402" s="4" t="s">
        <v>71</v>
      </c>
      <c r="C402" s="4" t="s">
        <v>23</v>
      </c>
      <c r="D402" s="4" t="s">
        <v>15</v>
      </c>
      <c r="E402" s="4">
        <v>40</v>
      </c>
      <c r="F402" s="4" t="s">
        <v>50</v>
      </c>
      <c r="G402" s="4" t="s">
        <v>32</v>
      </c>
      <c r="H402" s="4" t="s">
        <v>1222</v>
      </c>
      <c r="I402" s="4">
        <v>111797</v>
      </c>
      <c r="J402" s="4" t="s">
        <v>60</v>
      </c>
      <c r="K402" s="4" t="s">
        <v>1223</v>
      </c>
      <c r="L402" s="4" t="s">
        <v>36</v>
      </c>
      <c r="M402" s="1">
        <f>VLOOKUP(Employees!A402,Performance!A401:E901,3,0)</f>
        <v>5</v>
      </c>
    </row>
    <row r="403" spans="1:13" x14ac:dyDescent="0.3">
      <c r="A403" s="5" t="s">
        <v>1224</v>
      </c>
      <c r="B403" s="5" t="s">
        <v>71</v>
      </c>
      <c r="C403" s="5" t="s">
        <v>90</v>
      </c>
      <c r="D403" s="5" t="s">
        <v>24</v>
      </c>
      <c r="E403" s="5">
        <v>43</v>
      </c>
      <c r="F403" s="5" t="s">
        <v>16</v>
      </c>
      <c r="G403" s="5" t="s">
        <v>26</v>
      </c>
      <c r="H403" s="5" t="s">
        <v>1225</v>
      </c>
      <c r="I403" s="5">
        <v>40238</v>
      </c>
      <c r="J403" s="5" t="s">
        <v>19</v>
      </c>
      <c r="K403" s="5" t="s">
        <v>1226</v>
      </c>
      <c r="L403" s="5" t="s">
        <v>21</v>
      </c>
      <c r="M403" s="1">
        <f>VLOOKUP(Employees!A403,Performance!A402:E902,3,0)</f>
        <v>2</v>
      </c>
    </row>
    <row r="404" spans="1:13" x14ac:dyDescent="0.3">
      <c r="A404" s="4" t="s">
        <v>1227</v>
      </c>
      <c r="B404" s="4" t="s">
        <v>71</v>
      </c>
      <c r="C404" s="4" t="s">
        <v>165</v>
      </c>
      <c r="D404" s="4" t="s">
        <v>15</v>
      </c>
      <c r="E404" s="4">
        <v>55</v>
      </c>
      <c r="F404" s="4" t="s">
        <v>31</v>
      </c>
      <c r="G404" s="4" t="s">
        <v>17</v>
      </c>
      <c r="H404" s="4" t="s">
        <v>1228</v>
      </c>
      <c r="I404" s="4">
        <v>70077</v>
      </c>
      <c r="J404" s="4" t="s">
        <v>34</v>
      </c>
      <c r="K404" s="4" t="s">
        <v>1229</v>
      </c>
      <c r="L404" s="4" t="s">
        <v>21</v>
      </c>
      <c r="M404" s="1">
        <f>VLOOKUP(Employees!A404,Performance!A403:E903,3,0)</f>
        <v>1</v>
      </c>
    </row>
    <row r="405" spans="1:13" x14ac:dyDescent="0.3">
      <c r="A405" s="5" t="s">
        <v>1230</v>
      </c>
      <c r="B405" s="5" t="s">
        <v>44</v>
      </c>
      <c r="C405" s="5" t="s">
        <v>14</v>
      </c>
      <c r="D405" s="5" t="s">
        <v>24</v>
      </c>
      <c r="E405" s="5">
        <v>57</v>
      </c>
      <c r="F405" s="5" t="s">
        <v>16</v>
      </c>
      <c r="G405" s="5" t="s">
        <v>17</v>
      </c>
      <c r="H405" s="5" t="s">
        <v>1231</v>
      </c>
      <c r="I405" s="5">
        <v>107382</v>
      </c>
      <c r="J405" s="5" t="s">
        <v>19</v>
      </c>
      <c r="K405" s="5" t="s">
        <v>1232</v>
      </c>
      <c r="L405" s="5" t="s">
        <v>36</v>
      </c>
      <c r="M405" s="1">
        <f>VLOOKUP(Employees!A405,Performance!A404:E904,3,0)</f>
        <v>2</v>
      </c>
    </row>
    <row r="406" spans="1:13" x14ac:dyDescent="0.3">
      <c r="A406" s="4" t="s">
        <v>1233</v>
      </c>
      <c r="B406" s="4" t="s">
        <v>94</v>
      </c>
      <c r="C406" s="4" t="s">
        <v>95</v>
      </c>
      <c r="D406" s="4" t="s">
        <v>15</v>
      </c>
      <c r="E406" s="4">
        <v>24</v>
      </c>
      <c r="F406" s="4" t="s">
        <v>50</v>
      </c>
      <c r="G406" s="4" t="s">
        <v>26</v>
      </c>
      <c r="H406" s="4" t="s">
        <v>1234</v>
      </c>
      <c r="I406" s="4">
        <v>54413</v>
      </c>
      <c r="J406" s="4" t="s">
        <v>65</v>
      </c>
      <c r="K406" s="4" t="s">
        <v>1235</v>
      </c>
      <c r="L406" s="4" t="s">
        <v>21</v>
      </c>
      <c r="M406" s="1">
        <f>VLOOKUP(Employees!A406,Performance!A405:E905,3,0)</f>
        <v>4</v>
      </c>
    </row>
    <row r="407" spans="1:13" x14ac:dyDescent="0.3">
      <c r="A407" s="5" t="s">
        <v>1236</v>
      </c>
      <c r="B407" s="5" t="s">
        <v>143</v>
      </c>
      <c r="C407" s="5" t="s">
        <v>23</v>
      </c>
      <c r="D407" s="5" t="s">
        <v>24</v>
      </c>
      <c r="E407" s="5">
        <v>37</v>
      </c>
      <c r="F407" s="5" t="s">
        <v>31</v>
      </c>
      <c r="G407" s="5" t="s">
        <v>108</v>
      </c>
      <c r="H407" s="5" t="s">
        <v>1237</v>
      </c>
      <c r="I407" s="5">
        <v>40061</v>
      </c>
      <c r="J407" s="5" t="s">
        <v>65</v>
      </c>
      <c r="K407" s="5" t="s">
        <v>1238</v>
      </c>
      <c r="L407" s="5" t="s">
        <v>21</v>
      </c>
      <c r="M407" s="1">
        <f>VLOOKUP(Employees!A407,Performance!A406:E906,3,0)</f>
        <v>3</v>
      </c>
    </row>
    <row r="408" spans="1:13" x14ac:dyDescent="0.3">
      <c r="A408" s="4" t="s">
        <v>1239</v>
      </c>
      <c r="B408" s="4" t="s">
        <v>30</v>
      </c>
      <c r="C408" s="4" t="s">
        <v>95</v>
      </c>
      <c r="D408" s="4" t="s">
        <v>24</v>
      </c>
      <c r="E408" s="4">
        <v>45</v>
      </c>
      <c r="F408" s="4" t="s">
        <v>39</v>
      </c>
      <c r="G408" s="4" t="s">
        <v>108</v>
      </c>
      <c r="H408" s="4" t="s">
        <v>1240</v>
      </c>
      <c r="I408" s="4">
        <v>89039</v>
      </c>
      <c r="J408" s="4" t="s">
        <v>34</v>
      </c>
      <c r="K408" s="4" t="s">
        <v>1241</v>
      </c>
      <c r="L408" s="4" t="s">
        <v>21</v>
      </c>
      <c r="M408" s="1">
        <f>VLOOKUP(Employees!A408,Performance!A407:E907,3,0)</f>
        <v>3</v>
      </c>
    </row>
    <row r="409" spans="1:13" x14ac:dyDescent="0.3">
      <c r="A409" s="5" t="s">
        <v>1242</v>
      </c>
      <c r="B409" s="5" t="s">
        <v>71</v>
      </c>
      <c r="C409" s="5" t="s">
        <v>63</v>
      </c>
      <c r="D409" s="5" t="s">
        <v>15</v>
      </c>
      <c r="E409" s="5">
        <v>30</v>
      </c>
      <c r="F409" s="5" t="s">
        <v>39</v>
      </c>
      <c r="G409" s="5" t="s">
        <v>40</v>
      </c>
      <c r="H409" s="5" t="s">
        <v>1243</v>
      </c>
      <c r="I409" s="5">
        <v>41334</v>
      </c>
      <c r="J409" s="5" t="s">
        <v>34</v>
      </c>
      <c r="K409" s="5" t="s">
        <v>1244</v>
      </c>
      <c r="L409" s="5" t="s">
        <v>21</v>
      </c>
      <c r="M409" s="1">
        <f>VLOOKUP(Employees!A409,Performance!A408:E908,3,0)</f>
        <v>5</v>
      </c>
    </row>
    <row r="410" spans="1:13" x14ac:dyDescent="0.3">
      <c r="A410" s="4" t="s">
        <v>1245</v>
      </c>
      <c r="B410" s="4" t="s">
        <v>49</v>
      </c>
      <c r="C410" s="4" t="s">
        <v>165</v>
      </c>
      <c r="D410" s="4" t="s">
        <v>15</v>
      </c>
      <c r="E410" s="4">
        <v>55</v>
      </c>
      <c r="F410" s="4" t="s">
        <v>25</v>
      </c>
      <c r="G410" s="4" t="s">
        <v>17</v>
      </c>
      <c r="H410" s="4" t="s">
        <v>1246</v>
      </c>
      <c r="I410" s="4">
        <v>108930</v>
      </c>
      <c r="J410" s="4" t="s">
        <v>60</v>
      </c>
      <c r="K410" s="4" t="s">
        <v>1247</v>
      </c>
      <c r="L410" s="4" t="s">
        <v>36</v>
      </c>
      <c r="M410" s="1">
        <f>VLOOKUP(Employees!A410,Performance!A409:E909,3,0)</f>
        <v>1</v>
      </c>
    </row>
    <row r="411" spans="1:13" x14ac:dyDescent="0.3">
      <c r="A411" s="5" t="s">
        <v>1248</v>
      </c>
      <c r="B411" s="5" t="s">
        <v>71</v>
      </c>
      <c r="C411" s="5" t="s">
        <v>90</v>
      </c>
      <c r="D411" s="5" t="s">
        <v>15</v>
      </c>
      <c r="E411" s="5">
        <v>31</v>
      </c>
      <c r="F411" s="5" t="s">
        <v>50</v>
      </c>
      <c r="G411" s="5" t="s">
        <v>26</v>
      </c>
      <c r="H411" s="5" t="s">
        <v>1249</v>
      </c>
      <c r="I411" s="5">
        <v>78935</v>
      </c>
      <c r="J411" s="5" t="s">
        <v>19</v>
      </c>
      <c r="K411" s="5" t="s">
        <v>1250</v>
      </c>
      <c r="L411" s="5" t="s">
        <v>36</v>
      </c>
      <c r="M411" s="1">
        <f>VLOOKUP(Employees!A411,Performance!A410:E910,3,0)</f>
        <v>5</v>
      </c>
    </row>
    <row r="412" spans="1:13" x14ac:dyDescent="0.3">
      <c r="A412" s="4" t="s">
        <v>1251</v>
      </c>
      <c r="B412" s="4" t="s">
        <v>38</v>
      </c>
      <c r="C412" s="4" t="s">
        <v>78</v>
      </c>
      <c r="D412" s="4" t="s">
        <v>24</v>
      </c>
      <c r="E412" s="4">
        <v>34</v>
      </c>
      <c r="F412" s="4" t="s">
        <v>50</v>
      </c>
      <c r="G412" s="4" t="s">
        <v>40</v>
      </c>
      <c r="H412" s="4" t="s">
        <v>1252</v>
      </c>
      <c r="I412" s="4">
        <v>68187</v>
      </c>
      <c r="J412" s="4" t="s">
        <v>19</v>
      </c>
      <c r="K412" s="4" t="s">
        <v>1253</v>
      </c>
      <c r="L412" s="4" t="s">
        <v>21</v>
      </c>
      <c r="M412" s="1">
        <f>VLOOKUP(Employees!A412,Performance!A411:E911,3,0)</f>
        <v>1</v>
      </c>
    </row>
    <row r="413" spans="1:13" x14ac:dyDescent="0.3">
      <c r="A413" s="5" t="s">
        <v>1254</v>
      </c>
      <c r="B413" s="5" t="s">
        <v>13</v>
      </c>
      <c r="C413" s="5" t="s">
        <v>45</v>
      </c>
      <c r="D413" s="5" t="s">
        <v>15</v>
      </c>
      <c r="E413" s="5">
        <v>51</v>
      </c>
      <c r="F413" s="5" t="s">
        <v>25</v>
      </c>
      <c r="G413" s="5" t="s">
        <v>26</v>
      </c>
      <c r="H413" s="5" t="s">
        <v>1255</v>
      </c>
      <c r="I413" s="5">
        <v>56816</v>
      </c>
      <c r="J413" s="5" t="s">
        <v>65</v>
      </c>
      <c r="K413" s="5" t="s">
        <v>1256</v>
      </c>
      <c r="L413" s="5" t="s">
        <v>21</v>
      </c>
      <c r="M413" s="1">
        <f>VLOOKUP(Employees!A413,Performance!A412:E912,3,0)</f>
        <v>3</v>
      </c>
    </row>
    <row r="414" spans="1:13" x14ac:dyDescent="0.3">
      <c r="A414" s="4" t="s">
        <v>1257</v>
      </c>
      <c r="B414" s="4" t="s">
        <v>58</v>
      </c>
      <c r="C414" s="4" t="s">
        <v>14</v>
      </c>
      <c r="D414" s="4" t="s">
        <v>15</v>
      </c>
      <c r="E414" s="4">
        <v>29</v>
      </c>
      <c r="F414" s="4" t="s">
        <v>25</v>
      </c>
      <c r="G414" s="4" t="s">
        <v>17</v>
      </c>
      <c r="H414" s="4" t="s">
        <v>1258</v>
      </c>
      <c r="I414" s="4">
        <v>102232</v>
      </c>
      <c r="J414" s="4" t="s">
        <v>19</v>
      </c>
      <c r="K414" s="4" t="s">
        <v>1259</v>
      </c>
      <c r="L414" s="4" t="s">
        <v>21</v>
      </c>
      <c r="M414" s="1">
        <f>VLOOKUP(Employees!A414,Performance!A413:E913,3,0)</f>
        <v>4</v>
      </c>
    </row>
    <row r="415" spans="1:13" x14ac:dyDescent="0.3">
      <c r="A415" s="5" t="s">
        <v>1260</v>
      </c>
      <c r="B415" s="5" t="s">
        <v>58</v>
      </c>
      <c r="C415" s="5" t="s">
        <v>45</v>
      </c>
      <c r="D415" s="5" t="s">
        <v>24</v>
      </c>
      <c r="E415" s="5">
        <v>38</v>
      </c>
      <c r="F415" s="5" t="s">
        <v>50</v>
      </c>
      <c r="G415" s="5" t="s">
        <v>108</v>
      </c>
      <c r="H415" s="5" t="s">
        <v>1261</v>
      </c>
      <c r="I415" s="5">
        <v>99123</v>
      </c>
      <c r="J415" s="5" t="s">
        <v>19</v>
      </c>
      <c r="K415" s="5" t="s">
        <v>1262</v>
      </c>
      <c r="L415" s="5" t="s">
        <v>36</v>
      </c>
      <c r="M415" s="1">
        <f>VLOOKUP(Employees!A415,Performance!A414:E914,3,0)</f>
        <v>3</v>
      </c>
    </row>
    <row r="416" spans="1:13" x14ac:dyDescent="0.3">
      <c r="A416" s="4" t="s">
        <v>1263</v>
      </c>
      <c r="B416" s="4" t="s">
        <v>54</v>
      </c>
      <c r="C416" s="4" t="s">
        <v>14</v>
      </c>
      <c r="D416" s="4" t="s">
        <v>15</v>
      </c>
      <c r="E416" s="4">
        <v>23</v>
      </c>
      <c r="F416" s="4" t="s">
        <v>39</v>
      </c>
      <c r="G416" s="4" t="s">
        <v>32</v>
      </c>
      <c r="H416" s="4" t="s">
        <v>1264</v>
      </c>
      <c r="I416" s="4">
        <v>44686</v>
      </c>
      <c r="J416" s="4" t="s">
        <v>60</v>
      </c>
      <c r="K416" s="4" t="s">
        <v>1265</v>
      </c>
      <c r="L416" s="4" t="s">
        <v>21</v>
      </c>
      <c r="M416" s="1">
        <f>VLOOKUP(Employees!A416,Performance!A415:E915,3,0)</f>
        <v>1</v>
      </c>
    </row>
    <row r="417" spans="1:13" x14ac:dyDescent="0.3">
      <c r="A417" s="5" t="s">
        <v>1266</v>
      </c>
      <c r="B417" s="5" t="s">
        <v>54</v>
      </c>
      <c r="C417" s="5" t="s">
        <v>165</v>
      </c>
      <c r="D417" s="5" t="s">
        <v>24</v>
      </c>
      <c r="E417" s="5">
        <v>57</v>
      </c>
      <c r="F417" s="5" t="s">
        <v>31</v>
      </c>
      <c r="G417" s="5" t="s">
        <v>26</v>
      </c>
      <c r="H417" s="5" t="s">
        <v>1267</v>
      </c>
      <c r="I417" s="5">
        <v>104342</v>
      </c>
      <c r="J417" s="5" t="s">
        <v>80</v>
      </c>
      <c r="K417" s="5" t="s">
        <v>1268</v>
      </c>
      <c r="L417" s="5" t="s">
        <v>36</v>
      </c>
      <c r="M417" s="1">
        <f>VLOOKUP(Employees!A417,Performance!A416:E916,3,0)</f>
        <v>2</v>
      </c>
    </row>
    <row r="418" spans="1:13" x14ac:dyDescent="0.3">
      <c r="A418" s="4" t="s">
        <v>1269</v>
      </c>
      <c r="B418" s="4" t="s">
        <v>30</v>
      </c>
      <c r="C418" s="4" t="s">
        <v>83</v>
      </c>
      <c r="D418" s="4" t="s">
        <v>24</v>
      </c>
      <c r="E418" s="4">
        <v>40</v>
      </c>
      <c r="F418" s="4" t="s">
        <v>16</v>
      </c>
      <c r="G418" s="4" t="s">
        <v>26</v>
      </c>
      <c r="H418" s="4" t="s">
        <v>1270</v>
      </c>
      <c r="I418" s="4">
        <v>116236</v>
      </c>
      <c r="J418" s="4" t="s">
        <v>65</v>
      </c>
      <c r="K418" s="4" t="s">
        <v>1271</v>
      </c>
      <c r="L418" s="4" t="s">
        <v>36</v>
      </c>
      <c r="M418" s="1">
        <f>VLOOKUP(Employees!A418,Performance!A417:E917,3,0)</f>
        <v>1</v>
      </c>
    </row>
    <row r="419" spans="1:13" x14ac:dyDescent="0.3">
      <c r="A419" s="5" t="s">
        <v>1272</v>
      </c>
      <c r="B419" s="5" t="s">
        <v>44</v>
      </c>
      <c r="C419" s="5" t="s">
        <v>83</v>
      </c>
      <c r="D419" s="5" t="s">
        <v>24</v>
      </c>
      <c r="E419" s="5">
        <v>33</v>
      </c>
      <c r="F419" s="5" t="s">
        <v>39</v>
      </c>
      <c r="G419" s="5" t="s">
        <v>32</v>
      </c>
      <c r="H419" s="5" t="s">
        <v>1273</v>
      </c>
      <c r="I419" s="5">
        <v>63416</v>
      </c>
      <c r="J419" s="5" t="s">
        <v>19</v>
      </c>
      <c r="K419" s="5" t="s">
        <v>1274</v>
      </c>
      <c r="L419" s="5" t="s">
        <v>36</v>
      </c>
      <c r="M419" s="1">
        <f>VLOOKUP(Employees!A419,Performance!A418:E918,3,0)</f>
        <v>3</v>
      </c>
    </row>
    <row r="420" spans="1:13" x14ac:dyDescent="0.3">
      <c r="A420" s="4" t="s">
        <v>1275</v>
      </c>
      <c r="B420" s="4" t="s">
        <v>94</v>
      </c>
      <c r="C420" s="4" t="s">
        <v>78</v>
      </c>
      <c r="D420" s="4" t="s">
        <v>15</v>
      </c>
      <c r="E420" s="4">
        <v>46</v>
      </c>
      <c r="F420" s="4" t="s">
        <v>25</v>
      </c>
      <c r="G420" s="4" t="s">
        <v>40</v>
      </c>
      <c r="H420" s="4" t="s">
        <v>1276</v>
      </c>
      <c r="I420" s="4">
        <v>48319</v>
      </c>
      <c r="J420" s="4" t="s">
        <v>80</v>
      </c>
      <c r="K420" s="4" t="s">
        <v>1277</v>
      </c>
      <c r="L420" s="4" t="s">
        <v>21</v>
      </c>
      <c r="M420" s="1">
        <f>VLOOKUP(Employees!A420,Performance!A419:E919,3,0)</f>
        <v>3</v>
      </c>
    </row>
    <row r="421" spans="1:13" x14ac:dyDescent="0.3">
      <c r="A421" s="5" t="s">
        <v>1278</v>
      </c>
      <c r="B421" s="5" t="s">
        <v>13</v>
      </c>
      <c r="C421" s="5" t="s">
        <v>130</v>
      </c>
      <c r="D421" s="5" t="s">
        <v>15</v>
      </c>
      <c r="E421" s="5">
        <v>36</v>
      </c>
      <c r="F421" s="5" t="s">
        <v>39</v>
      </c>
      <c r="G421" s="5" t="s">
        <v>17</v>
      </c>
      <c r="H421" s="5" t="s">
        <v>1279</v>
      </c>
      <c r="I421" s="5">
        <v>82168</v>
      </c>
      <c r="J421" s="5" t="s">
        <v>19</v>
      </c>
      <c r="K421" s="5" t="s">
        <v>1280</v>
      </c>
      <c r="L421" s="5" t="s">
        <v>21</v>
      </c>
      <c r="M421" s="1">
        <f>VLOOKUP(Employees!A421,Performance!A420:E920,3,0)</f>
        <v>1</v>
      </c>
    </row>
    <row r="422" spans="1:13" x14ac:dyDescent="0.3">
      <c r="A422" s="4" t="s">
        <v>1281</v>
      </c>
      <c r="B422" s="4" t="s">
        <v>71</v>
      </c>
      <c r="C422" s="4" t="s">
        <v>63</v>
      </c>
      <c r="D422" s="4" t="s">
        <v>24</v>
      </c>
      <c r="E422" s="4">
        <v>32</v>
      </c>
      <c r="F422" s="4" t="s">
        <v>25</v>
      </c>
      <c r="G422" s="4" t="s">
        <v>40</v>
      </c>
      <c r="H422" s="4" t="s">
        <v>1282</v>
      </c>
      <c r="I422" s="4">
        <v>83994</v>
      </c>
      <c r="J422" s="4" t="s">
        <v>19</v>
      </c>
      <c r="K422" s="4" t="s">
        <v>1283</v>
      </c>
      <c r="L422" s="4" t="s">
        <v>36</v>
      </c>
      <c r="M422" s="1">
        <f>VLOOKUP(Employees!A422,Performance!A421:E921,3,0)</f>
        <v>1</v>
      </c>
    </row>
    <row r="423" spans="1:13" x14ac:dyDescent="0.3">
      <c r="A423" s="5" t="s">
        <v>1284</v>
      </c>
      <c r="B423" s="5" t="s">
        <v>30</v>
      </c>
      <c r="C423" s="5" t="s">
        <v>90</v>
      </c>
      <c r="D423" s="5" t="s">
        <v>15</v>
      </c>
      <c r="E423" s="5">
        <v>43</v>
      </c>
      <c r="F423" s="5" t="s">
        <v>25</v>
      </c>
      <c r="G423" s="5" t="s">
        <v>32</v>
      </c>
      <c r="H423" s="5" t="s">
        <v>1285</v>
      </c>
      <c r="I423" s="5">
        <v>45200</v>
      </c>
      <c r="J423" s="5" t="s">
        <v>19</v>
      </c>
      <c r="K423" s="5" t="s">
        <v>1286</v>
      </c>
      <c r="L423" s="5" t="s">
        <v>36</v>
      </c>
      <c r="M423" s="1">
        <f>VLOOKUP(Employees!A423,Performance!A422:E922,3,0)</f>
        <v>4</v>
      </c>
    </row>
    <row r="424" spans="1:13" x14ac:dyDescent="0.3">
      <c r="A424" s="4" t="s">
        <v>1287</v>
      </c>
      <c r="B424" s="4" t="s">
        <v>38</v>
      </c>
      <c r="C424" s="4" t="s">
        <v>63</v>
      </c>
      <c r="D424" s="4" t="s">
        <v>24</v>
      </c>
      <c r="E424" s="4">
        <v>25</v>
      </c>
      <c r="F424" s="4" t="s">
        <v>31</v>
      </c>
      <c r="G424" s="4" t="s">
        <v>17</v>
      </c>
      <c r="H424" s="4" t="s">
        <v>1288</v>
      </c>
      <c r="I424" s="4">
        <v>84722</v>
      </c>
      <c r="J424" s="4" t="s">
        <v>65</v>
      </c>
      <c r="K424" s="4" t="s">
        <v>1289</v>
      </c>
      <c r="L424" s="4" t="s">
        <v>36</v>
      </c>
      <c r="M424" s="1">
        <f>VLOOKUP(Employees!A424,Performance!A423:E923,3,0)</f>
        <v>4</v>
      </c>
    </row>
    <row r="425" spans="1:13" x14ac:dyDescent="0.3">
      <c r="A425" s="5" t="s">
        <v>1290</v>
      </c>
      <c r="B425" s="5" t="s">
        <v>13</v>
      </c>
      <c r="C425" s="5" t="s">
        <v>63</v>
      </c>
      <c r="D425" s="5" t="s">
        <v>15</v>
      </c>
      <c r="E425" s="5">
        <v>24</v>
      </c>
      <c r="F425" s="5" t="s">
        <v>31</v>
      </c>
      <c r="G425" s="5" t="s">
        <v>17</v>
      </c>
      <c r="H425" s="5" t="s">
        <v>1291</v>
      </c>
      <c r="I425" s="5">
        <v>57088</v>
      </c>
      <c r="J425" s="5" t="s">
        <v>19</v>
      </c>
      <c r="K425" s="5" t="s">
        <v>1292</v>
      </c>
      <c r="L425" s="5" t="s">
        <v>21</v>
      </c>
      <c r="M425" s="1">
        <f>VLOOKUP(Employees!A425,Performance!A424:E924,3,0)</f>
        <v>3</v>
      </c>
    </row>
    <row r="426" spans="1:13" x14ac:dyDescent="0.3">
      <c r="A426" s="4" t="s">
        <v>1293</v>
      </c>
      <c r="B426" s="4" t="s">
        <v>58</v>
      </c>
      <c r="C426" s="4" t="s">
        <v>63</v>
      </c>
      <c r="D426" s="4" t="s">
        <v>24</v>
      </c>
      <c r="E426" s="4">
        <v>52</v>
      </c>
      <c r="F426" s="4" t="s">
        <v>50</v>
      </c>
      <c r="G426" s="4" t="s">
        <v>108</v>
      </c>
      <c r="H426" s="4" t="s">
        <v>1294</v>
      </c>
      <c r="I426" s="4">
        <v>106181</v>
      </c>
      <c r="J426" s="4" t="s">
        <v>34</v>
      </c>
      <c r="K426" s="4" t="s">
        <v>1295</v>
      </c>
      <c r="L426" s="4" t="s">
        <v>21</v>
      </c>
      <c r="M426" s="1">
        <f>VLOOKUP(Employees!A426,Performance!A425:E925,3,0)</f>
        <v>2</v>
      </c>
    </row>
    <row r="427" spans="1:13" x14ac:dyDescent="0.3">
      <c r="A427" s="5" t="s">
        <v>1296</v>
      </c>
      <c r="B427" s="5" t="s">
        <v>71</v>
      </c>
      <c r="C427" s="5" t="s">
        <v>90</v>
      </c>
      <c r="D427" s="5" t="s">
        <v>15</v>
      </c>
      <c r="E427" s="5">
        <v>48</v>
      </c>
      <c r="F427" s="5" t="s">
        <v>25</v>
      </c>
      <c r="G427" s="5" t="s">
        <v>17</v>
      </c>
      <c r="H427" s="5" t="s">
        <v>1297</v>
      </c>
      <c r="I427" s="5">
        <v>117192</v>
      </c>
      <c r="J427" s="5" t="s">
        <v>60</v>
      </c>
      <c r="K427" s="5" t="s">
        <v>1298</v>
      </c>
      <c r="L427" s="5" t="s">
        <v>21</v>
      </c>
      <c r="M427" s="1">
        <f>VLOOKUP(Employees!A427,Performance!A426:E926,3,0)</f>
        <v>5</v>
      </c>
    </row>
    <row r="428" spans="1:13" x14ac:dyDescent="0.3">
      <c r="A428" s="4" t="s">
        <v>1299</v>
      </c>
      <c r="B428" s="4" t="s">
        <v>94</v>
      </c>
      <c r="C428" s="4" t="s">
        <v>14</v>
      </c>
      <c r="D428" s="4" t="s">
        <v>15</v>
      </c>
      <c r="E428" s="4">
        <v>43</v>
      </c>
      <c r="F428" s="4" t="s">
        <v>25</v>
      </c>
      <c r="G428" s="4" t="s">
        <v>108</v>
      </c>
      <c r="H428" s="4" t="s">
        <v>1300</v>
      </c>
      <c r="I428" s="4">
        <v>114670</v>
      </c>
      <c r="J428" s="4" t="s">
        <v>60</v>
      </c>
      <c r="K428" s="4" t="s">
        <v>1301</v>
      </c>
      <c r="L428" s="4" t="s">
        <v>36</v>
      </c>
      <c r="M428" s="1">
        <f>VLOOKUP(Employees!A428,Performance!A427:E927,3,0)</f>
        <v>3</v>
      </c>
    </row>
    <row r="429" spans="1:13" x14ac:dyDescent="0.3">
      <c r="A429" s="5" t="s">
        <v>1302</v>
      </c>
      <c r="B429" s="5" t="s">
        <v>30</v>
      </c>
      <c r="C429" s="5" t="s">
        <v>63</v>
      </c>
      <c r="D429" s="5" t="s">
        <v>15</v>
      </c>
      <c r="E429" s="5">
        <v>36</v>
      </c>
      <c r="F429" s="5" t="s">
        <v>16</v>
      </c>
      <c r="G429" s="5" t="s">
        <v>40</v>
      </c>
      <c r="H429" s="5" t="s">
        <v>687</v>
      </c>
      <c r="I429" s="5">
        <v>116951</v>
      </c>
      <c r="J429" s="5" t="s">
        <v>80</v>
      </c>
      <c r="K429" s="5" t="s">
        <v>1303</v>
      </c>
      <c r="L429" s="5" t="s">
        <v>21</v>
      </c>
      <c r="M429" s="1">
        <f>VLOOKUP(Employees!A429,Performance!A428:E928,3,0)</f>
        <v>2</v>
      </c>
    </row>
    <row r="430" spans="1:13" x14ac:dyDescent="0.3">
      <c r="A430" s="4" t="s">
        <v>1304</v>
      </c>
      <c r="B430" s="4" t="s">
        <v>71</v>
      </c>
      <c r="C430" s="4" t="s">
        <v>83</v>
      </c>
      <c r="D430" s="4" t="s">
        <v>15</v>
      </c>
      <c r="E430" s="4">
        <v>43</v>
      </c>
      <c r="F430" s="4" t="s">
        <v>16</v>
      </c>
      <c r="G430" s="4" t="s">
        <v>26</v>
      </c>
      <c r="H430" s="4" t="s">
        <v>650</v>
      </c>
      <c r="I430" s="4">
        <v>86123</v>
      </c>
      <c r="J430" s="4" t="s">
        <v>34</v>
      </c>
      <c r="K430" s="4" t="s">
        <v>1305</v>
      </c>
      <c r="L430" s="4" t="s">
        <v>36</v>
      </c>
      <c r="M430" s="1">
        <f>VLOOKUP(Employees!A430,Performance!A429:E929,3,0)</f>
        <v>1</v>
      </c>
    </row>
    <row r="431" spans="1:13" x14ac:dyDescent="0.3">
      <c r="A431" s="5" t="s">
        <v>1306</v>
      </c>
      <c r="B431" s="5" t="s">
        <v>13</v>
      </c>
      <c r="C431" s="5" t="s">
        <v>90</v>
      </c>
      <c r="D431" s="5" t="s">
        <v>15</v>
      </c>
      <c r="E431" s="5">
        <v>45</v>
      </c>
      <c r="F431" s="5" t="s">
        <v>50</v>
      </c>
      <c r="G431" s="5" t="s">
        <v>17</v>
      </c>
      <c r="H431" s="5" t="s">
        <v>1307</v>
      </c>
      <c r="I431" s="5">
        <v>68220</v>
      </c>
      <c r="J431" s="5" t="s">
        <v>80</v>
      </c>
      <c r="K431" s="5" t="s">
        <v>1308</v>
      </c>
      <c r="L431" s="5" t="s">
        <v>21</v>
      </c>
      <c r="M431" s="1">
        <f>VLOOKUP(Employees!A431,Performance!A430:E930,3,0)</f>
        <v>5</v>
      </c>
    </row>
    <row r="432" spans="1:13" x14ac:dyDescent="0.3">
      <c r="A432" s="4" t="s">
        <v>1309</v>
      </c>
      <c r="B432" s="4" t="s">
        <v>49</v>
      </c>
      <c r="C432" s="4" t="s">
        <v>130</v>
      </c>
      <c r="D432" s="4" t="s">
        <v>15</v>
      </c>
      <c r="E432" s="4">
        <v>60</v>
      </c>
      <c r="F432" s="4" t="s">
        <v>39</v>
      </c>
      <c r="G432" s="4" t="s">
        <v>32</v>
      </c>
      <c r="H432" s="4" t="s">
        <v>1310</v>
      </c>
      <c r="I432" s="4">
        <v>115147</v>
      </c>
      <c r="J432" s="4" t="s">
        <v>34</v>
      </c>
      <c r="K432" s="4" t="s">
        <v>1311</v>
      </c>
      <c r="L432" s="4" t="s">
        <v>36</v>
      </c>
      <c r="M432" s="1">
        <f>VLOOKUP(Employees!A432,Performance!A431:E931,3,0)</f>
        <v>2</v>
      </c>
    </row>
    <row r="433" spans="1:13" x14ac:dyDescent="0.3">
      <c r="A433" s="5" t="s">
        <v>1312</v>
      </c>
      <c r="B433" s="5" t="s">
        <v>94</v>
      </c>
      <c r="C433" s="5" t="s">
        <v>45</v>
      </c>
      <c r="D433" s="5" t="s">
        <v>15</v>
      </c>
      <c r="E433" s="5">
        <v>54</v>
      </c>
      <c r="F433" s="5" t="s">
        <v>50</v>
      </c>
      <c r="G433" s="5" t="s">
        <v>26</v>
      </c>
      <c r="H433" s="5" t="s">
        <v>1313</v>
      </c>
      <c r="I433" s="5">
        <v>68028</v>
      </c>
      <c r="J433" s="5" t="s">
        <v>19</v>
      </c>
      <c r="K433" s="5" t="s">
        <v>1314</v>
      </c>
      <c r="L433" s="5" t="s">
        <v>36</v>
      </c>
      <c r="M433" s="1">
        <f>VLOOKUP(Employees!A433,Performance!A432:E932,3,0)</f>
        <v>4</v>
      </c>
    </row>
    <row r="434" spans="1:13" x14ac:dyDescent="0.3">
      <c r="A434" s="4" t="s">
        <v>1315</v>
      </c>
      <c r="B434" s="4" t="s">
        <v>38</v>
      </c>
      <c r="C434" s="4" t="s">
        <v>45</v>
      </c>
      <c r="D434" s="4" t="s">
        <v>24</v>
      </c>
      <c r="E434" s="4">
        <v>52</v>
      </c>
      <c r="F434" s="4" t="s">
        <v>39</v>
      </c>
      <c r="G434" s="4" t="s">
        <v>108</v>
      </c>
      <c r="H434" s="4" t="s">
        <v>1316</v>
      </c>
      <c r="I434" s="4">
        <v>46732</v>
      </c>
      <c r="J434" s="4" t="s">
        <v>65</v>
      </c>
      <c r="K434" s="4" t="s">
        <v>1317</v>
      </c>
      <c r="L434" s="4" t="s">
        <v>36</v>
      </c>
      <c r="M434" s="1">
        <f>VLOOKUP(Employees!A434,Performance!A433:E933,3,0)</f>
        <v>1</v>
      </c>
    </row>
    <row r="435" spans="1:13" x14ac:dyDescent="0.3">
      <c r="A435" s="5" t="s">
        <v>1318</v>
      </c>
      <c r="B435" s="5" t="s">
        <v>44</v>
      </c>
      <c r="C435" s="5" t="s">
        <v>130</v>
      </c>
      <c r="D435" s="5" t="s">
        <v>24</v>
      </c>
      <c r="E435" s="5">
        <v>53</v>
      </c>
      <c r="F435" s="5" t="s">
        <v>16</v>
      </c>
      <c r="G435" s="5" t="s">
        <v>108</v>
      </c>
      <c r="H435" s="5" t="s">
        <v>1319</v>
      </c>
      <c r="I435" s="5">
        <v>37701</v>
      </c>
      <c r="J435" s="5" t="s">
        <v>34</v>
      </c>
      <c r="K435" s="5" t="s">
        <v>1320</v>
      </c>
      <c r="L435" s="5" t="s">
        <v>36</v>
      </c>
      <c r="M435" s="1">
        <f>VLOOKUP(Employees!A435,Performance!A434:E934,3,0)</f>
        <v>4</v>
      </c>
    </row>
    <row r="436" spans="1:13" x14ac:dyDescent="0.3">
      <c r="A436" s="4" t="s">
        <v>1321</v>
      </c>
      <c r="B436" s="4" t="s">
        <v>49</v>
      </c>
      <c r="C436" s="4" t="s">
        <v>45</v>
      </c>
      <c r="D436" s="4" t="s">
        <v>15</v>
      </c>
      <c r="E436" s="4">
        <v>51</v>
      </c>
      <c r="F436" s="4" t="s">
        <v>16</v>
      </c>
      <c r="G436" s="4" t="s">
        <v>26</v>
      </c>
      <c r="H436" s="4" t="s">
        <v>822</v>
      </c>
      <c r="I436" s="4">
        <v>103930</v>
      </c>
      <c r="J436" s="4" t="s">
        <v>60</v>
      </c>
      <c r="K436" s="4" t="s">
        <v>1322</v>
      </c>
      <c r="L436" s="4" t="s">
        <v>36</v>
      </c>
      <c r="M436" s="1">
        <f>VLOOKUP(Employees!A436,Performance!A435:E935,3,0)</f>
        <v>1</v>
      </c>
    </row>
    <row r="437" spans="1:13" x14ac:dyDescent="0.3">
      <c r="A437" s="5" t="s">
        <v>1323</v>
      </c>
      <c r="B437" s="5" t="s">
        <v>143</v>
      </c>
      <c r="C437" s="5" t="s">
        <v>90</v>
      </c>
      <c r="D437" s="5" t="s">
        <v>15</v>
      </c>
      <c r="E437" s="5">
        <v>41</v>
      </c>
      <c r="F437" s="5" t="s">
        <v>25</v>
      </c>
      <c r="G437" s="5" t="s">
        <v>17</v>
      </c>
      <c r="H437" s="5" t="s">
        <v>1041</v>
      </c>
      <c r="I437" s="5">
        <v>83188</v>
      </c>
      <c r="J437" s="5" t="s">
        <v>80</v>
      </c>
      <c r="K437" s="5" t="s">
        <v>1324</v>
      </c>
      <c r="L437" s="5" t="s">
        <v>21</v>
      </c>
      <c r="M437" s="1">
        <f>VLOOKUP(Employees!A437,Performance!A436:E936,3,0)</f>
        <v>1</v>
      </c>
    </row>
    <row r="438" spans="1:13" x14ac:dyDescent="0.3">
      <c r="A438" s="4" t="s">
        <v>1325</v>
      </c>
      <c r="B438" s="4" t="s">
        <v>13</v>
      </c>
      <c r="C438" s="4" t="s">
        <v>95</v>
      </c>
      <c r="D438" s="4" t="s">
        <v>24</v>
      </c>
      <c r="E438" s="4">
        <v>23</v>
      </c>
      <c r="F438" s="4" t="s">
        <v>39</v>
      </c>
      <c r="G438" s="4" t="s">
        <v>26</v>
      </c>
      <c r="H438" s="4" t="s">
        <v>1326</v>
      </c>
      <c r="I438" s="4">
        <v>50616</v>
      </c>
      <c r="J438" s="4" t="s">
        <v>60</v>
      </c>
      <c r="K438" s="4" t="s">
        <v>1327</v>
      </c>
      <c r="L438" s="4" t="s">
        <v>36</v>
      </c>
      <c r="M438" s="1">
        <f>VLOOKUP(Employees!A438,Performance!A437:E937,3,0)</f>
        <v>2</v>
      </c>
    </row>
    <row r="439" spans="1:13" x14ac:dyDescent="0.3">
      <c r="A439" s="5" t="s">
        <v>1328</v>
      </c>
      <c r="B439" s="5" t="s">
        <v>94</v>
      </c>
      <c r="C439" s="5" t="s">
        <v>130</v>
      </c>
      <c r="D439" s="5" t="s">
        <v>24</v>
      </c>
      <c r="E439" s="5">
        <v>52</v>
      </c>
      <c r="F439" s="5" t="s">
        <v>39</v>
      </c>
      <c r="G439" s="5" t="s">
        <v>17</v>
      </c>
      <c r="H439" s="5" t="s">
        <v>1329</v>
      </c>
      <c r="I439" s="5">
        <v>80964</v>
      </c>
      <c r="J439" s="5" t="s">
        <v>60</v>
      </c>
      <c r="K439" s="5" t="s">
        <v>1330</v>
      </c>
      <c r="L439" s="5" t="s">
        <v>21</v>
      </c>
      <c r="M439" s="1">
        <f>VLOOKUP(Employees!A439,Performance!A438:E938,3,0)</f>
        <v>2</v>
      </c>
    </row>
    <row r="440" spans="1:13" x14ac:dyDescent="0.3">
      <c r="A440" s="4" t="s">
        <v>1331</v>
      </c>
      <c r="B440" s="4" t="s">
        <v>38</v>
      </c>
      <c r="C440" s="4" t="s">
        <v>83</v>
      </c>
      <c r="D440" s="4" t="s">
        <v>24</v>
      </c>
      <c r="E440" s="4">
        <v>28</v>
      </c>
      <c r="F440" s="4" t="s">
        <v>39</v>
      </c>
      <c r="G440" s="4" t="s">
        <v>26</v>
      </c>
      <c r="H440" s="4" t="s">
        <v>1332</v>
      </c>
      <c r="I440" s="4">
        <v>38806</v>
      </c>
      <c r="J440" s="4" t="s">
        <v>60</v>
      </c>
      <c r="K440" s="4" t="s">
        <v>1333</v>
      </c>
      <c r="L440" s="4" t="s">
        <v>36</v>
      </c>
      <c r="M440" s="1">
        <f>VLOOKUP(Employees!A440,Performance!A439:E939,3,0)</f>
        <v>2</v>
      </c>
    </row>
    <row r="441" spans="1:13" x14ac:dyDescent="0.3">
      <c r="A441" s="5" t="s">
        <v>1334</v>
      </c>
      <c r="B441" s="5" t="s">
        <v>94</v>
      </c>
      <c r="C441" s="5" t="s">
        <v>83</v>
      </c>
      <c r="D441" s="5" t="s">
        <v>15</v>
      </c>
      <c r="E441" s="5">
        <v>29</v>
      </c>
      <c r="F441" s="5" t="s">
        <v>16</v>
      </c>
      <c r="G441" s="5" t="s">
        <v>32</v>
      </c>
      <c r="H441" s="5" t="s">
        <v>819</v>
      </c>
      <c r="I441" s="5">
        <v>71247</v>
      </c>
      <c r="J441" s="5" t="s">
        <v>60</v>
      </c>
      <c r="K441" s="5" t="s">
        <v>1335</v>
      </c>
      <c r="L441" s="5" t="s">
        <v>36</v>
      </c>
      <c r="M441" s="1">
        <f>VLOOKUP(Employees!A441,Performance!A440:E940,3,0)</f>
        <v>4</v>
      </c>
    </row>
    <row r="442" spans="1:13" x14ac:dyDescent="0.3">
      <c r="A442" s="4" t="s">
        <v>1336</v>
      </c>
      <c r="B442" s="4" t="s">
        <v>58</v>
      </c>
      <c r="C442" s="4" t="s">
        <v>165</v>
      </c>
      <c r="D442" s="4" t="s">
        <v>15</v>
      </c>
      <c r="E442" s="4">
        <v>29</v>
      </c>
      <c r="F442" s="4" t="s">
        <v>39</v>
      </c>
      <c r="G442" s="4" t="s">
        <v>40</v>
      </c>
      <c r="H442" s="4" t="s">
        <v>1337</v>
      </c>
      <c r="I442" s="4">
        <v>109197</v>
      </c>
      <c r="J442" s="4" t="s">
        <v>80</v>
      </c>
      <c r="K442" s="4" t="s">
        <v>1338</v>
      </c>
      <c r="L442" s="4" t="s">
        <v>36</v>
      </c>
      <c r="M442" s="1">
        <f>VLOOKUP(Employees!A442,Performance!A441:E941,3,0)</f>
        <v>2</v>
      </c>
    </row>
    <row r="443" spans="1:13" x14ac:dyDescent="0.3">
      <c r="A443" s="5" t="s">
        <v>1339</v>
      </c>
      <c r="B443" s="5" t="s">
        <v>44</v>
      </c>
      <c r="C443" s="5" t="s">
        <v>63</v>
      </c>
      <c r="D443" s="5" t="s">
        <v>24</v>
      </c>
      <c r="E443" s="5">
        <v>47</v>
      </c>
      <c r="F443" s="5" t="s">
        <v>31</v>
      </c>
      <c r="G443" s="5" t="s">
        <v>40</v>
      </c>
      <c r="H443" s="5" t="s">
        <v>1340</v>
      </c>
      <c r="I443" s="5">
        <v>77368</v>
      </c>
      <c r="J443" s="5" t="s">
        <v>19</v>
      </c>
      <c r="K443" s="5" t="s">
        <v>1341</v>
      </c>
      <c r="L443" s="5" t="s">
        <v>21</v>
      </c>
      <c r="M443" s="1">
        <f>VLOOKUP(Employees!A443,Performance!A442:E942,3,0)</f>
        <v>2</v>
      </c>
    </row>
    <row r="444" spans="1:13" x14ac:dyDescent="0.3">
      <c r="A444" s="4" t="s">
        <v>1342</v>
      </c>
      <c r="B444" s="4" t="s">
        <v>71</v>
      </c>
      <c r="C444" s="4" t="s">
        <v>165</v>
      </c>
      <c r="D444" s="4" t="s">
        <v>24</v>
      </c>
      <c r="E444" s="4">
        <v>41</v>
      </c>
      <c r="F444" s="4" t="s">
        <v>16</v>
      </c>
      <c r="G444" s="4" t="s">
        <v>32</v>
      </c>
      <c r="H444" s="4" t="s">
        <v>1343</v>
      </c>
      <c r="I444" s="4">
        <v>62102</v>
      </c>
      <c r="J444" s="4" t="s">
        <v>80</v>
      </c>
      <c r="K444" s="4" t="s">
        <v>1344</v>
      </c>
      <c r="L444" s="4" t="s">
        <v>36</v>
      </c>
      <c r="M444" s="1">
        <f>VLOOKUP(Employees!A444,Performance!A443:E943,3,0)</f>
        <v>2</v>
      </c>
    </row>
    <row r="445" spans="1:13" x14ac:dyDescent="0.3">
      <c r="A445" s="5" t="s">
        <v>1345</v>
      </c>
      <c r="B445" s="5" t="s">
        <v>44</v>
      </c>
      <c r="C445" s="5" t="s">
        <v>14</v>
      </c>
      <c r="D445" s="5" t="s">
        <v>24</v>
      </c>
      <c r="E445" s="5">
        <v>40</v>
      </c>
      <c r="F445" s="5" t="s">
        <v>16</v>
      </c>
      <c r="G445" s="5" t="s">
        <v>40</v>
      </c>
      <c r="H445" s="5" t="s">
        <v>1346</v>
      </c>
      <c r="I445" s="5">
        <v>66499</v>
      </c>
      <c r="J445" s="5" t="s">
        <v>80</v>
      </c>
      <c r="K445" s="5" t="s">
        <v>1347</v>
      </c>
      <c r="L445" s="5" t="s">
        <v>21</v>
      </c>
      <c r="M445" s="1">
        <f>VLOOKUP(Employees!A445,Performance!A444:E944,3,0)</f>
        <v>2</v>
      </c>
    </row>
    <row r="446" spans="1:13" x14ac:dyDescent="0.3">
      <c r="A446" s="4" t="s">
        <v>1348</v>
      </c>
      <c r="B446" s="4" t="s">
        <v>13</v>
      </c>
      <c r="C446" s="4" t="s">
        <v>23</v>
      </c>
      <c r="D446" s="4" t="s">
        <v>24</v>
      </c>
      <c r="E446" s="4">
        <v>47</v>
      </c>
      <c r="F446" s="4" t="s">
        <v>31</v>
      </c>
      <c r="G446" s="4" t="s">
        <v>108</v>
      </c>
      <c r="H446" s="4" t="s">
        <v>1349</v>
      </c>
      <c r="I446" s="4">
        <v>114326</v>
      </c>
      <c r="J446" s="4" t="s">
        <v>34</v>
      </c>
      <c r="K446" s="4" t="s">
        <v>1350</v>
      </c>
      <c r="L446" s="4" t="s">
        <v>36</v>
      </c>
      <c r="M446" s="1">
        <f>VLOOKUP(Employees!A446,Performance!A445:E945,3,0)</f>
        <v>2</v>
      </c>
    </row>
    <row r="447" spans="1:13" x14ac:dyDescent="0.3">
      <c r="A447" s="5" t="s">
        <v>1351</v>
      </c>
      <c r="B447" s="5" t="s">
        <v>54</v>
      </c>
      <c r="C447" s="5" t="s">
        <v>78</v>
      </c>
      <c r="D447" s="5" t="s">
        <v>15</v>
      </c>
      <c r="E447" s="5">
        <v>49</v>
      </c>
      <c r="F447" s="5" t="s">
        <v>25</v>
      </c>
      <c r="G447" s="5" t="s">
        <v>32</v>
      </c>
      <c r="H447" s="5" t="s">
        <v>1352</v>
      </c>
      <c r="I447" s="5">
        <v>98144</v>
      </c>
      <c r="J447" s="5" t="s">
        <v>65</v>
      </c>
      <c r="K447" s="5" t="s">
        <v>1353</v>
      </c>
      <c r="L447" s="5" t="s">
        <v>36</v>
      </c>
      <c r="M447" s="1">
        <f>VLOOKUP(Employees!A447,Performance!A446:E946,3,0)</f>
        <v>1</v>
      </c>
    </row>
    <row r="448" spans="1:13" x14ac:dyDescent="0.3">
      <c r="A448" s="4" t="s">
        <v>1354</v>
      </c>
      <c r="B448" s="4" t="s">
        <v>143</v>
      </c>
      <c r="C448" s="4" t="s">
        <v>95</v>
      </c>
      <c r="D448" s="4" t="s">
        <v>15</v>
      </c>
      <c r="E448" s="4">
        <v>50</v>
      </c>
      <c r="F448" s="4" t="s">
        <v>50</v>
      </c>
      <c r="G448" s="4" t="s">
        <v>40</v>
      </c>
      <c r="H448" s="4" t="s">
        <v>1355</v>
      </c>
      <c r="I448" s="4">
        <v>61804</v>
      </c>
      <c r="J448" s="4" t="s">
        <v>60</v>
      </c>
      <c r="K448" s="4" t="s">
        <v>1356</v>
      </c>
      <c r="L448" s="4" t="s">
        <v>21</v>
      </c>
      <c r="M448" s="1">
        <f>VLOOKUP(Employees!A448,Performance!A447:E947,3,0)</f>
        <v>1</v>
      </c>
    </row>
    <row r="449" spans="1:13" x14ac:dyDescent="0.3">
      <c r="A449" s="5" t="s">
        <v>1357</v>
      </c>
      <c r="B449" s="5" t="s">
        <v>94</v>
      </c>
      <c r="C449" s="5" t="s">
        <v>130</v>
      </c>
      <c r="D449" s="5" t="s">
        <v>15</v>
      </c>
      <c r="E449" s="5">
        <v>24</v>
      </c>
      <c r="F449" s="5" t="s">
        <v>16</v>
      </c>
      <c r="G449" s="5" t="s">
        <v>32</v>
      </c>
      <c r="H449" s="5" t="s">
        <v>1358</v>
      </c>
      <c r="I449" s="5">
        <v>42829</v>
      </c>
      <c r="J449" s="5" t="s">
        <v>80</v>
      </c>
      <c r="K449" s="5" t="s">
        <v>1359</v>
      </c>
      <c r="L449" s="5" t="s">
        <v>21</v>
      </c>
      <c r="M449" s="1">
        <f>VLOOKUP(Employees!A449,Performance!A448:E948,3,0)</f>
        <v>4</v>
      </c>
    </row>
    <row r="450" spans="1:13" x14ac:dyDescent="0.3">
      <c r="A450" s="4" t="s">
        <v>1360</v>
      </c>
      <c r="B450" s="4" t="s">
        <v>13</v>
      </c>
      <c r="C450" s="4" t="s">
        <v>45</v>
      </c>
      <c r="D450" s="4" t="s">
        <v>24</v>
      </c>
      <c r="E450" s="4">
        <v>39</v>
      </c>
      <c r="F450" s="4" t="s">
        <v>50</v>
      </c>
      <c r="G450" s="4" t="s">
        <v>108</v>
      </c>
      <c r="H450" s="4" t="s">
        <v>1361</v>
      </c>
      <c r="I450" s="4">
        <v>55874</v>
      </c>
      <c r="J450" s="4" t="s">
        <v>60</v>
      </c>
      <c r="K450" s="4" t="s">
        <v>1362</v>
      </c>
      <c r="L450" s="4" t="s">
        <v>36</v>
      </c>
      <c r="M450" s="1">
        <f>VLOOKUP(Employees!A450,Performance!A449:E949,3,0)</f>
        <v>1</v>
      </c>
    </row>
    <row r="451" spans="1:13" x14ac:dyDescent="0.3">
      <c r="A451" s="5" t="s">
        <v>1363</v>
      </c>
      <c r="B451" s="5" t="s">
        <v>49</v>
      </c>
      <c r="C451" s="5" t="s">
        <v>78</v>
      </c>
      <c r="D451" s="5" t="s">
        <v>15</v>
      </c>
      <c r="E451" s="5">
        <v>48</v>
      </c>
      <c r="F451" s="5" t="s">
        <v>31</v>
      </c>
      <c r="G451" s="5" t="s">
        <v>108</v>
      </c>
      <c r="H451" s="5" t="s">
        <v>1364</v>
      </c>
      <c r="I451" s="5">
        <v>110269</v>
      </c>
      <c r="J451" s="5" t="s">
        <v>65</v>
      </c>
      <c r="K451" s="5" t="s">
        <v>1365</v>
      </c>
      <c r="L451" s="5" t="s">
        <v>36</v>
      </c>
      <c r="M451" s="1">
        <f>VLOOKUP(Employees!A451,Performance!A450:E950,3,0)</f>
        <v>2</v>
      </c>
    </row>
    <row r="452" spans="1:13" x14ac:dyDescent="0.3">
      <c r="A452" s="4" t="s">
        <v>1366</v>
      </c>
      <c r="B452" s="4" t="s">
        <v>71</v>
      </c>
      <c r="C452" s="4" t="s">
        <v>165</v>
      </c>
      <c r="D452" s="4" t="s">
        <v>15</v>
      </c>
      <c r="E452" s="4">
        <v>49</v>
      </c>
      <c r="F452" s="4" t="s">
        <v>50</v>
      </c>
      <c r="G452" s="4" t="s">
        <v>17</v>
      </c>
      <c r="H452" s="4" t="s">
        <v>1367</v>
      </c>
      <c r="I452" s="4">
        <v>97118</v>
      </c>
      <c r="J452" s="4" t="s">
        <v>65</v>
      </c>
      <c r="K452" s="4" t="s">
        <v>1368</v>
      </c>
      <c r="L452" s="4" t="s">
        <v>36</v>
      </c>
      <c r="M452" s="1">
        <f>VLOOKUP(Employees!A452,Performance!A451:E951,3,0)</f>
        <v>5</v>
      </c>
    </row>
    <row r="453" spans="1:13" x14ac:dyDescent="0.3">
      <c r="A453" s="5" t="s">
        <v>1369</v>
      </c>
      <c r="B453" s="5" t="s">
        <v>49</v>
      </c>
      <c r="C453" s="5" t="s">
        <v>23</v>
      </c>
      <c r="D453" s="5" t="s">
        <v>15</v>
      </c>
      <c r="E453" s="5">
        <v>25</v>
      </c>
      <c r="F453" s="5" t="s">
        <v>50</v>
      </c>
      <c r="G453" s="5" t="s">
        <v>108</v>
      </c>
      <c r="H453" s="5" t="s">
        <v>1370</v>
      </c>
      <c r="I453" s="5">
        <v>73245</v>
      </c>
      <c r="J453" s="5" t="s">
        <v>34</v>
      </c>
      <c r="K453" s="5" t="s">
        <v>1371</v>
      </c>
      <c r="L453" s="5" t="s">
        <v>36</v>
      </c>
      <c r="M453" s="1">
        <f>VLOOKUP(Employees!A453,Performance!A452:E952,3,0)</f>
        <v>3</v>
      </c>
    </row>
    <row r="454" spans="1:13" x14ac:dyDescent="0.3">
      <c r="A454" s="4" t="s">
        <v>1372</v>
      </c>
      <c r="B454" s="4" t="s">
        <v>38</v>
      </c>
      <c r="C454" s="4" t="s">
        <v>130</v>
      </c>
      <c r="D454" s="4" t="s">
        <v>15</v>
      </c>
      <c r="E454" s="4">
        <v>53</v>
      </c>
      <c r="F454" s="4" t="s">
        <v>50</v>
      </c>
      <c r="G454" s="4" t="s">
        <v>108</v>
      </c>
      <c r="H454" s="4" t="s">
        <v>1373</v>
      </c>
      <c r="I454" s="4">
        <v>35589</v>
      </c>
      <c r="J454" s="4" t="s">
        <v>60</v>
      </c>
      <c r="K454" s="4" t="s">
        <v>1374</v>
      </c>
      <c r="L454" s="4" t="s">
        <v>36</v>
      </c>
      <c r="M454" s="1">
        <f>VLOOKUP(Employees!A454,Performance!A453:E953,3,0)</f>
        <v>4</v>
      </c>
    </row>
    <row r="455" spans="1:13" x14ac:dyDescent="0.3">
      <c r="A455" s="5" t="s">
        <v>1375</v>
      </c>
      <c r="B455" s="5" t="s">
        <v>30</v>
      </c>
      <c r="C455" s="5" t="s">
        <v>90</v>
      </c>
      <c r="D455" s="5" t="s">
        <v>24</v>
      </c>
      <c r="E455" s="5">
        <v>35</v>
      </c>
      <c r="F455" s="5" t="s">
        <v>39</v>
      </c>
      <c r="G455" s="5" t="s">
        <v>40</v>
      </c>
      <c r="H455" s="5" t="s">
        <v>1376</v>
      </c>
      <c r="I455" s="5">
        <v>79751</v>
      </c>
      <c r="J455" s="5" t="s">
        <v>19</v>
      </c>
      <c r="K455" s="5" t="s">
        <v>1377</v>
      </c>
      <c r="L455" s="5" t="s">
        <v>21</v>
      </c>
      <c r="M455" s="1">
        <f>VLOOKUP(Employees!A455,Performance!A454:E954,3,0)</f>
        <v>2</v>
      </c>
    </row>
    <row r="456" spans="1:13" x14ac:dyDescent="0.3">
      <c r="A456" s="4" t="s">
        <v>1378</v>
      </c>
      <c r="B456" s="4" t="s">
        <v>143</v>
      </c>
      <c r="C456" s="4" t="s">
        <v>14</v>
      </c>
      <c r="D456" s="4" t="s">
        <v>24</v>
      </c>
      <c r="E456" s="4">
        <v>53</v>
      </c>
      <c r="F456" s="4" t="s">
        <v>25</v>
      </c>
      <c r="G456" s="4" t="s">
        <v>108</v>
      </c>
      <c r="H456" s="4" t="s">
        <v>1379</v>
      </c>
      <c r="I456" s="4">
        <v>67994</v>
      </c>
      <c r="J456" s="4" t="s">
        <v>34</v>
      </c>
      <c r="K456" s="4" t="s">
        <v>1380</v>
      </c>
      <c r="L456" s="4" t="s">
        <v>21</v>
      </c>
      <c r="M456" s="1">
        <f>VLOOKUP(Employees!A456,Performance!A455:E955,3,0)</f>
        <v>3</v>
      </c>
    </row>
    <row r="457" spans="1:13" x14ac:dyDescent="0.3">
      <c r="A457" s="5" t="s">
        <v>1381</v>
      </c>
      <c r="B457" s="5" t="s">
        <v>143</v>
      </c>
      <c r="C457" s="5" t="s">
        <v>78</v>
      </c>
      <c r="D457" s="5" t="s">
        <v>24</v>
      </c>
      <c r="E457" s="5">
        <v>28</v>
      </c>
      <c r="F457" s="5" t="s">
        <v>39</v>
      </c>
      <c r="G457" s="5" t="s">
        <v>26</v>
      </c>
      <c r="H457" s="5" t="s">
        <v>1382</v>
      </c>
      <c r="I457" s="5">
        <v>51178</v>
      </c>
      <c r="J457" s="5" t="s">
        <v>19</v>
      </c>
      <c r="K457" s="5" t="s">
        <v>1383</v>
      </c>
      <c r="L457" s="5" t="s">
        <v>21</v>
      </c>
      <c r="M457" s="1">
        <f>VLOOKUP(Employees!A457,Performance!A456:E956,3,0)</f>
        <v>4</v>
      </c>
    </row>
    <row r="458" spans="1:13" x14ac:dyDescent="0.3">
      <c r="A458" s="4" t="s">
        <v>1384</v>
      </c>
      <c r="B458" s="4" t="s">
        <v>44</v>
      </c>
      <c r="C458" s="4" t="s">
        <v>165</v>
      </c>
      <c r="D458" s="4" t="s">
        <v>15</v>
      </c>
      <c r="E458" s="4">
        <v>29</v>
      </c>
      <c r="F458" s="4" t="s">
        <v>16</v>
      </c>
      <c r="G458" s="4" t="s">
        <v>108</v>
      </c>
      <c r="H458" s="4" t="s">
        <v>1385</v>
      </c>
      <c r="I458" s="4">
        <v>40759</v>
      </c>
      <c r="J458" s="4" t="s">
        <v>65</v>
      </c>
      <c r="K458" s="4" t="s">
        <v>1386</v>
      </c>
      <c r="L458" s="4" t="s">
        <v>21</v>
      </c>
      <c r="M458" s="1">
        <f>VLOOKUP(Employees!A458,Performance!A457:E957,3,0)</f>
        <v>1</v>
      </c>
    </row>
    <row r="459" spans="1:13" x14ac:dyDescent="0.3">
      <c r="A459" s="5" t="s">
        <v>1387</v>
      </c>
      <c r="B459" s="5" t="s">
        <v>38</v>
      </c>
      <c r="C459" s="5" t="s">
        <v>78</v>
      </c>
      <c r="D459" s="5" t="s">
        <v>15</v>
      </c>
      <c r="E459" s="5">
        <v>32</v>
      </c>
      <c r="F459" s="5" t="s">
        <v>16</v>
      </c>
      <c r="G459" s="5" t="s">
        <v>26</v>
      </c>
      <c r="H459" s="5" t="s">
        <v>1388</v>
      </c>
      <c r="I459" s="5">
        <v>98394</v>
      </c>
      <c r="J459" s="5" t="s">
        <v>19</v>
      </c>
      <c r="K459" s="5" t="s">
        <v>1389</v>
      </c>
      <c r="L459" s="5" t="s">
        <v>36</v>
      </c>
      <c r="M459" s="1">
        <f>VLOOKUP(Employees!A459,Performance!A458:E958,3,0)</f>
        <v>4</v>
      </c>
    </row>
    <row r="460" spans="1:13" x14ac:dyDescent="0.3">
      <c r="A460" s="4" t="s">
        <v>1390</v>
      </c>
      <c r="B460" s="4" t="s">
        <v>54</v>
      </c>
      <c r="C460" s="4" t="s">
        <v>14</v>
      </c>
      <c r="D460" s="4" t="s">
        <v>15</v>
      </c>
      <c r="E460" s="4">
        <v>37</v>
      </c>
      <c r="F460" s="4" t="s">
        <v>50</v>
      </c>
      <c r="G460" s="4" t="s">
        <v>32</v>
      </c>
      <c r="H460" s="4" t="s">
        <v>1391</v>
      </c>
      <c r="I460" s="4">
        <v>90148</v>
      </c>
      <c r="J460" s="4" t="s">
        <v>65</v>
      </c>
      <c r="K460" s="4" t="s">
        <v>1392</v>
      </c>
      <c r="L460" s="4" t="s">
        <v>21</v>
      </c>
      <c r="M460" s="1">
        <f>VLOOKUP(Employees!A460,Performance!A459:E959,3,0)</f>
        <v>3</v>
      </c>
    </row>
    <row r="461" spans="1:13" x14ac:dyDescent="0.3">
      <c r="A461" s="5" t="s">
        <v>1393</v>
      </c>
      <c r="B461" s="5" t="s">
        <v>30</v>
      </c>
      <c r="C461" s="5" t="s">
        <v>45</v>
      </c>
      <c r="D461" s="5" t="s">
        <v>24</v>
      </c>
      <c r="E461" s="5">
        <v>32</v>
      </c>
      <c r="F461" s="5" t="s">
        <v>31</v>
      </c>
      <c r="G461" s="5" t="s">
        <v>17</v>
      </c>
      <c r="H461" s="5" t="s">
        <v>460</v>
      </c>
      <c r="I461" s="5">
        <v>63176</v>
      </c>
      <c r="J461" s="5" t="s">
        <v>34</v>
      </c>
      <c r="K461" s="5" t="s">
        <v>1394</v>
      </c>
      <c r="L461" s="5" t="s">
        <v>21</v>
      </c>
      <c r="M461" s="1">
        <f>VLOOKUP(Employees!A461,Performance!A460:E960,3,0)</f>
        <v>1</v>
      </c>
    </row>
    <row r="462" spans="1:13" x14ac:dyDescent="0.3">
      <c r="A462" s="4" t="s">
        <v>1395</v>
      </c>
      <c r="B462" s="4" t="s">
        <v>94</v>
      </c>
      <c r="C462" s="4" t="s">
        <v>90</v>
      </c>
      <c r="D462" s="4" t="s">
        <v>24</v>
      </c>
      <c r="E462" s="4">
        <v>55</v>
      </c>
      <c r="F462" s="4" t="s">
        <v>25</v>
      </c>
      <c r="G462" s="4" t="s">
        <v>26</v>
      </c>
      <c r="H462" s="4" t="s">
        <v>1396</v>
      </c>
      <c r="I462" s="4">
        <v>86434</v>
      </c>
      <c r="J462" s="4" t="s">
        <v>65</v>
      </c>
      <c r="K462" s="4" t="s">
        <v>1397</v>
      </c>
      <c r="L462" s="4" t="s">
        <v>36</v>
      </c>
      <c r="M462" s="1">
        <f>VLOOKUP(Employees!A462,Performance!A461:E961,3,0)</f>
        <v>2</v>
      </c>
    </row>
    <row r="463" spans="1:13" x14ac:dyDescent="0.3">
      <c r="A463" s="5" t="s">
        <v>1398</v>
      </c>
      <c r="B463" s="5" t="s">
        <v>143</v>
      </c>
      <c r="C463" s="5" t="s">
        <v>90</v>
      </c>
      <c r="D463" s="5" t="s">
        <v>15</v>
      </c>
      <c r="E463" s="5">
        <v>42</v>
      </c>
      <c r="F463" s="5" t="s">
        <v>39</v>
      </c>
      <c r="G463" s="5" t="s">
        <v>17</v>
      </c>
      <c r="H463" s="5" t="s">
        <v>1399</v>
      </c>
      <c r="I463" s="5">
        <v>70836</v>
      </c>
      <c r="J463" s="5" t="s">
        <v>65</v>
      </c>
      <c r="K463" s="5" t="s">
        <v>1400</v>
      </c>
      <c r="L463" s="5" t="s">
        <v>36</v>
      </c>
      <c r="M463" s="1">
        <f>VLOOKUP(Employees!A463,Performance!A462:E962,3,0)</f>
        <v>2</v>
      </c>
    </row>
    <row r="464" spans="1:13" x14ac:dyDescent="0.3">
      <c r="A464" s="4" t="s">
        <v>1401</v>
      </c>
      <c r="B464" s="4" t="s">
        <v>38</v>
      </c>
      <c r="C464" s="4" t="s">
        <v>95</v>
      </c>
      <c r="D464" s="4" t="s">
        <v>24</v>
      </c>
      <c r="E464" s="4">
        <v>49</v>
      </c>
      <c r="F464" s="4" t="s">
        <v>31</v>
      </c>
      <c r="G464" s="4" t="s">
        <v>32</v>
      </c>
      <c r="H464" s="4" t="s">
        <v>1402</v>
      </c>
      <c r="I464" s="4">
        <v>40805</v>
      </c>
      <c r="J464" s="4" t="s">
        <v>19</v>
      </c>
      <c r="K464" s="4" t="s">
        <v>1403</v>
      </c>
      <c r="L464" s="4" t="s">
        <v>21</v>
      </c>
      <c r="M464" s="1">
        <f>VLOOKUP(Employees!A464,Performance!A463:E963,3,0)</f>
        <v>1</v>
      </c>
    </row>
    <row r="465" spans="1:13" x14ac:dyDescent="0.3">
      <c r="A465" s="5" t="s">
        <v>1404</v>
      </c>
      <c r="B465" s="5" t="s">
        <v>44</v>
      </c>
      <c r="C465" s="5" t="s">
        <v>165</v>
      </c>
      <c r="D465" s="5" t="s">
        <v>24</v>
      </c>
      <c r="E465" s="5">
        <v>23</v>
      </c>
      <c r="F465" s="5" t="s">
        <v>16</v>
      </c>
      <c r="G465" s="5" t="s">
        <v>40</v>
      </c>
      <c r="H465" s="5" t="s">
        <v>1405</v>
      </c>
      <c r="I465" s="5">
        <v>117635</v>
      </c>
      <c r="J465" s="5" t="s">
        <v>34</v>
      </c>
      <c r="K465" s="5" t="s">
        <v>1406</v>
      </c>
      <c r="L465" s="5" t="s">
        <v>21</v>
      </c>
      <c r="M465" s="1">
        <f>VLOOKUP(Employees!A465,Performance!A464:E964,3,0)</f>
        <v>4</v>
      </c>
    </row>
    <row r="466" spans="1:13" x14ac:dyDescent="0.3">
      <c r="A466" s="4" t="s">
        <v>1407</v>
      </c>
      <c r="B466" s="4" t="s">
        <v>13</v>
      </c>
      <c r="C466" s="4" t="s">
        <v>83</v>
      </c>
      <c r="D466" s="4" t="s">
        <v>24</v>
      </c>
      <c r="E466" s="4">
        <v>45</v>
      </c>
      <c r="F466" s="4" t="s">
        <v>50</v>
      </c>
      <c r="G466" s="4" t="s">
        <v>40</v>
      </c>
      <c r="H466" s="4" t="s">
        <v>1408</v>
      </c>
      <c r="I466" s="4">
        <v>100678</v>
      </c>
      <c r="J466" s="4" t="s">
        <v>19</v>
      </c>
      <c r="K466" s="4" t="s">
        <v>1409</v>
      </c>
      <c r="L466" s="4" t="s">
        <v>36</v>
      </c>
      <c r="M466" s="1">
        <f>VLOOKUP(Employees!A466,Performance!A465:E965,3,0)</f>
        <v>3</v>
      </c>
    </row>
    <row r="467" spans="1:13" x14ac:dyDescent="0.3">
      <c r="A467" s="5" t="s">
        <v>1410</v>
      </c>
      <c r="B467" s="5" t="s">
        <v>30</v>
      </c>
      <c r="C467" s="5" t="s">
        <v>95</v>
      </c>
      <c r="D467" s="5" t="s">
        <v>24</v>
      </c>
      <c r="E467" s="5">
        <v>39</v>
      </c>
      <c r="F467" s="5" t="s">
        <v>16</v>
      </c>
      <c r="G467" s="5" t="s">
        <v>108</v>
      </c>
      <c r="H467" s="5" t="s">
        <v>1411</v>
      </c>
      <c r="I467" s="5">
        <v>76443</v>
      </c>
      <c r="J467" s="5" t="s">
        <v>65</v>
      </c>
      <c r="K467" s="5" t="s">
        <v>1412</v>
      </c>
      <c r="L467" s="5" t="s">
        <v>36</v>
      </c>
      <c r="M467" s="1">
        <f>VLOOKUP(Employees!A467,Performance!A466:E966,3,0)</f>
        <v>1</v>
      </c>
    </row>
    <row r="468" spans="1:13" x14ac:dyDescent="0.3">
      <c r="A468" s="4" t="s">
        <v>1413</v>
      </c>
      <c r="B468" s="4" t="s">
        <v>30</v>
      </c>
      <c r="C468" s="4" t="s">
        <v>90</v>
      </c>
      <c r="D468" s="4" t="s">
        <v>24</v>
      </c>
      <c r="E468" s="4">
        <v>44</v>
      </c>
      <c r="F468" s="4" t="s">
        <v>50</v>
      </c>
      <c r="G468" s="4" t="s">
        <v>26</v>
      </c>
      <c r="H468" s="4" t="s">
        <v>1414</v>
      </c>
      <c r="I468" s="4">
        <v>98210</v>
      </c>
      <c r="J468" s="4" t="s">
        <v>34</v>
      </c>
      <c r="K468" s="4" t="s">
        <v>1415</v>
      </c>
      <c r="L468" s="4" t="s">
        <v>21</v>
      </c>
      <c r="M468" s="1">
        <f>VLOOKUP(Employees!A468,Performance!A467:E967,3,0)</f>
        <v>2</v>
      </c>
    </row>
    <row r="469" spans="1:13" x14ac:dyDescent="0.3">
      <c r="A469" s="5" t="s">
        <v>1416</v>
      </c>
      <c r="B469" s="5" t="s">
        <v>30</v>
      </c>
      <c r="C469" s="5" t="s">
        <v>83</v>
      </c>
      <c r="D469" s="5" t="s">
        <v>24</v>
      </c>
      <c r="E469" s="5">
        <v>60</v>
      </c>
      <c r="F469" s="5" t="s">
        <v>16</v>
      </c>
      <c r="G469" s="5" t="s">
        <v>40</v>
      </c>
      <c r="H469" s="5" t="s">
        <v>1417</v>
      </c>
      <c r="I469" s="5">
        <v>83719</v>
      </c>
      <c r="J469" s="5" t="s">
        <v>34</v>
      </c>
      <c r="K469" s="5" t="s">
        <v>1418</v>
      </c>
      <c r="L469" s="5" t="s">
        <v>36</v>
      </c>
      <c r="M469" s="1">
        <f>VLOOKUP(Employees!A469,Performance!A468:E968,3,0)</f>
        <v>2</v>
      </c>
    </row>
    <row r="470" spans="1:13" x14ac:dyDescent="0.3">
      <c r="A470" s="4" t="s">
        <v>1419</v>
      </c>
      <c r="B470" s="4" t="s">
        <v>49</v>
      </c>
      <c r="C470" s="4" t="s">
        <v>14</v>
      </c>
      <c r="D470" s="4" t="s">
        <v>24</v>
      </c>
      <c r="E470" s="4">
        <v>53</v>
      </c>
      <c r="F470" s="4" t="s">
        <v>25</v>
      </c>
      <c r="G470" s="4" t="s">
        <v>26</v>
      </c>
      <c r="H470" s="4" t="s">
        <v>1420</v>
      </c>
      <c r="I470" s="4">
        <v>50965</v>
      </c>
      <c r="J470" s="4" t="s">
        <v>60</v>
      </c>
      <c r="K470" s="4" t="s">
        <v>1421</v>
      </c>
      <c r="L470" s="4" t="s">
        <v>21</v>
      </c>
      <c r="M470" s="1">
        <f>VLOOKUP(Employees!A470,Performance!A469:E969,3,0)</f>
        <v>4</v>
      </c>
    </row>
    <row r="471" spans="1:13" x14ac:dyDescent="0.3">
      <c r="A471" s="5" t="s">
        <v>1422</v>
      </c>
      <c r="B471" s="5" t="s">
        <v>94</v>
      </c>
      <c r="C471" s="5" t="s">
        <v>63</v>
      </c>
      <c r="D471" s="5" t="s">
        <v>24</v>
      </c>
      <c r="E471" s="5">
        <v>60</v>
      </c>
      <c r="F471" s="5" t="s">
        <v>50</v>
      </c>
      <c r="G471" s="5" t="s">
        <v>26</v>
      </c>
      <c r="H471" s="5" t="s">
        <v>1423</v>
      </c>
      <c r="I471" s="5">
        <v>113605</v>
      </c>
      <c r="J471" s="5" t="s">
        <v>60</v>
      </c>
      <c r="K471" s="5" t="s">
        <v>1424</v>
      </c>
      <c r="L471" s="5" t="s">
        <v>21</v>
      </c>
      <c r="M471" s="1">
        <f>VLOOKUP(Employees!A471,Performance!A470:E970,3,0)</f>
        <v>1</v>
      </c>
    </row>
    <row r="472" spans="1:13" x14ac:dyDescent="0.3">
      <c r="A472" s="4" t="s">
        <v>1425</v>
      </c>
      <c r="B472" s="4" t="s">
        <v>58</v>
      </c>
      <c r="C472" s="4" t="s">
        <v>78</v>
      </c>
      <c r="D472" s="4" t="s">
        <v>15</v>
      </c>
      <c r="E472" s="4">
        <v>57</v>
      </c>
      <c r="F472" s="4" t="s">
        <v>39</v>
      </c>
      <c r="G472" s="4" t="s">
        <v>40</v>
      </c>
      <c r="H472" s="4" t="s">
        <v>323</v>
      </c>
      <c r="I472" s="4">
        <v>80135</v>
      </c>
      <c r="J472" s="4" t="s">
        <v>34</v>
      </c>
      <c r="K472" s="4" t="s">
        <v>1426</v>
      </c>
      <c r="L472" s="4" t="s">
        <v>21</v>
      </c>
      <c r="M472" s="1">
        <f>VLOOKUP(Employees!A472,Performance!A471:E971,3,0)</f>
        <v>4</v>
      </c>
    </row>
    <row r="473" spans="1:13" x14ac:dyDescent="0.3">
      <c r="A473" s="5" t="s">
        <v>1427</v>
      </c>
      <c r="B473" s="5" t="s">
        <v>71</v>
      </c>
      <c r="C473" s="5" t="s">
        <v>23</v>
      </c>
      <c r="D473" s="5" t="s">
        <v>24</v>
      </c>
      <c r="E473" s="5">
        <v>53</v>
      </c>
      <c r="F473" s="5" t="s">
        <v>50</v>
      </c>
      <c r="G473" s="5" t="s">
        <v>108</v>
      </c>
      <c r="H473" s="5" t="s">
        <v>1428</v>
      </c>
      <c r="I473" s="5">
        <v>56690</v>
      </c>
      <c r="J473" s="5" t="s">
        <v>60</v>
      </c>
      <c r="K473" s="5" t="s">
        <v>1429</v>
      </c>
      <c r="L473" s="5" t="s">
        <v>21</v>
      </c>
      <c r="M473" s="1">
        <f>VLOOKUP(Employees!A473,Performance!A472:E972,3,0)</f>
        <v>4</v>
      </c>
    </row>
    <row r="474" spans="1:13" x14ac:dyDescent="0.3">
      <c r="A474" s="4" t="s">
        <v>1430</v>
      </c>
      <c r="B474" s="4" t="s">
        <v>49</v>
      </c>
      <c r="C474" s="4" t="s">
        <v>45</v>
      </c>
      <c r="D474" s="4" t="s">
        <v>24</v>
      </c>
      <c r="E474" s="4">
        <v>30</v>
      </c>
      <c r="F474" s="4" t="s">
        <v>50</v>
      </c>
      <c r="G474" s="4" t="s">
        <v>32</v>
      </c>
      <c r="H474" s="4" t="s">
        <v>243</v>
      </c>
      <c r="I474" s="4">
        <v>40070</v>
      </c>
      <c r="J474" s="4" t="s">
        <v>80</v>
      </c>
      <c r="K474" s="4" t="s">
        <v>1431</v>
      </c>
      <c r="L474" s="4" t="s">
        <v>21</v>
      </c>
      <c r="M474" s="1">
        <f>VLOOKUP(Employees!A474,Performance!A473:E973,3,0)</f>
        <v>5</v>
      </c>
    </row>
    <row r="475" spans="1:13" x14ac:dyDescent="0.3">
      <c r="A475" s="5" t="s">
        <v>1432</v>
      </c>
      <c r="B475" s="5" t="s">
        <v>30</v>
      </c>
      <c r="C475" s="5" t="s">
        <v>165</v>
      </c>
      <c r="D475" s="5" t="s">
        <v>24</v>
      </c>
      <c r="E475" s="5">
        <v>57</v>
      </c>
      <c r="F475" s="5" t="s">
        <v>16</v>
      </c>
      <c r="G475" s="5" t="s">
        <v>40</v>
      </c>
      <c r="H475" s="5" t="s">
        <v>1433</v>
      </c>
      <c r="I475" s="5">
        <v>83252</v>
      </c>
      <c r="J475" s="5" t="s">
        <v>60</v>
      </c>
      <c r="K475" s="5" t="s">
        <v>1434</v>
      </c>
      <c r="L475" s="5" t="s">
        <v>21</v>
      </c>
      <c r="M475" s="1">
        <f>VLOOKUP(Employees!A475,Performance!A474:E974,3,0)</f>
        <v>4</v>
      </c>
    </row>
    <row r="476" spans="1:13" x14ac:dyDescent="0.3">
      <c r="A476" s="4" t="s">
        <v>1435</v>
      </c>
      <c r="B476" s="4" t="s">
        <v>71</v>
      </c>
      <c r="C476" s="4" t="s">
        <v>90</v>
      </c>
      <c r="D476" s="4" t="s">
        <v>24</v>
      </c>
      <c r="E476" s="4">
        <v>48</v>
      </c>
      <c r="F476" s="4" t="s">
        <v>31</v>
      </c>
      <c r="G476" s="4" t="s">
        <v>40</v>
      </c>
      <c r="H476" s="4" t="s">
        <v>1196</v>
      </c>
      <c r="I476" s="4">
        <v>66939</v>
      </c>
      <c r="J476" s="4" t="s">
        <v>19</v>
      </c>
      <c r="K476" s="4" t="s">
        <v>1436</v>
      </c>
      <c r="L476" s="4" t="s">
        <v>36</v>
      </c>
      <c r="M476" s="1">
        <f>VLOOKUP(Employees!A476,Performance!A475:E975,3,0)</f>
        <v>4</v>
      </c>
    </row>
    <row r="477" spans="1:13" x14ac:dyDescent="0.3">
      <c r="A477" s="5" t="s">
        <v>1437</v>
      </c>
      <c r="B477" s="5" t="s">
        <v>13</v>
      </c>
      <c r="C477" s="5" t="s">
        <v>90</v>
      </c>
      <c r="D477" s="5" t="s">
        <v>24</v>
      </c>
      <c r="E477" s="5">
        <v>58</v>
      </c>
      <c r="F477" s="5" t="s">
        <v>31</v>
      </c>
      <c r="G477" s="5" t="s">
        <v>17</v>
      </c>
      <c r="H477" s="5" t="s">
        <v>1438</v>
      </c>
      <c r="I477" s="5">
        <v>51367</v>
      </c>
      <c r="J477" s="5" t="s">
        <v>65</v>
      </c>
      <c r="K477" s="5" t="s">
        <v>1439</v>
      </c>
      <c r="L477" s="5" t="s">
        <v>21</v>
      </c>
      <c r="M477" s="1">
        <f>VLOOKUP(Employees!A477,Performance!A476:E976,3,0)</f>
        <v>5</v>
      </c>
    </row>
    <row r="478" spans="1:13" x14ac:dyDescent="0.3">
      <c r="A478" s="4" t="s">
        <v>1440</v>
      </c>
      <c r="B478" s="4" t="s">
        <v>143</v>
      </c>
      <c r="C478" s="4" t="s">
        <v>95</v>
      </c>
      <c r="D478" s="4" t="s">
        <v>15</v>
      </c>
      <c r="E478" s="4">
        <v>60</v>
      </c>
      <c r="F478" s="4" t="s">
        <v>31</v>
      </c>
      <c r="G478" s="4" t="s">
        <v>17</v>
      </c>
      <c r="H478" s="4" t="s">
        <v>1441</v>
      </c>
      <c r="I478" s="4">
        <v>94212</v>
      </c>
      <c r="J478" s="4" t="s">
        <v>34</v>
      </c>
      <c r="K478" s="4" t="s">
        <v>1442</v>
      </c>
      <c r="L478" s="4" t="s">
        <v>21</v>
      </c>
      <c r="M478" s="1">
        <f>VLOOKUP(Employees!A478,Performance!A477:E977,3,0)</f>
        <v>3</v>
      </c>
    </row>
    <row r="479" spans="1:13" x14ac:dyDescent="0.3">
      <c r="A479" s="5" t="s">
        <v>1443</v>
      </c>
      <c r="B479" s="5" t="s">
        <v>44</v>
      </c>
      <c r="C479" s="5" t="s">
        <v>130</v>
      </c>
      <c r="D479" s="5" t="s">
        <v>24</v>
      </c>
      <c r="E479" s="5">
        <v>44</v>
      </c>
      <c r="F479" s="5" t="s">
        <v>50</v>
      </c>
      <c r="G479" s="5" t="s">
        <v>40</v>
      </c>
      <c r="H479" s="5" t="s">
        <v>1000</v>
      </c>
      <c r="I479" s="5">
        <v>47411</v>
      </c>
      <c r="J479" s="5" t="s">
        <v>60</v>
      </c>
      <c r="K479" s="5" t="s">
        <v>1444</v>
      </c>
      <c r="L479" s="5" t="s">
        <v>36</v>
      </c>
      <c r="M479" s="1">
        <f>VLOOKUP(Employees!A479,Performance!A478:E978,3,0)</f>
        <v>3</v>
      </c>
    </row>
    <row r="480" spans="1:13" x14ac:dyDescent="0.3">
      <c r="A480" s="4" t="s">
        <v>1445</v>
      </c>
      <c r="B480" s="4" t="s">
        <v>54</v>
      </c>
      <c r="C480" s="4" t="s">
        <v>23</v>
      </c>
      <c r="D480" s="4" t="s">
        <v>15</v>
      </c>
      <c r="E480" s="4">
        <v>49</v>
      </c>
      <c r="F480" s="4" t="s">
        <v>31</v>
      </c>
      <c r="G480" s="4" t="s">
        <v>26</v>
      </c>
      <c r="H480" s="4" t="s">
        <v>1446</v>
      </c>
      <c r="I480" s="4">
        <v>67896</v>
      </c>
      <c r="J480" s="4" t="s">
        <v>34</v>
      </c>
      <c r="K480" s="4" t="s">
        <v>1447</v>
      </c>
      <c r="L480" s="4" t="s">
        <v>36</v>
      </c>
      <c r="M480" s="1">
        <f>VLOOKUP(Employees!A480,Performance!A479:E979,3,0)</f>
        <v>3</v>
      </c>
    </row>
    <row r="481" spans="1:13" x14ac:dyDescent="0.3">
      <c r="A481" s="5" t="s">
        <v>1448</v>
      </c>
      <c r="B481" s="5" t="s">
        <v>49</v>
      </c>
      <c r="C481" s="5" t="s">
        <v>165</v>
      </c>
      <c r="D481" s="5" t="s">
        <v>24</v>
      </c>
      <c r="E481" s="5">
        <v>58</v>
      </c>
      <c r="F481" s="5" t="s">
        <v>39</v>
      </c>
      <c r="G481" s="5" t="s">
        <v>40</v>
      </c>
      <c r="H481" s="5" t="s">
        <v>1449</v>
      </c>
      <c r="I481" s="5">
        <v>81285</v>
      </c>
      <c r="J481" s="5" t="s">
        <v>34</v>
      </c>
      <c r="K481" s="5" t="s">
        <v>1450</v>
      </c>
      <c r="L481" s="5" t="s">
        <v>21</v>
      </c>
      <c r="M481" s="1">
        <f>VLOOKUP(Employees!A481,Performance!A480:E980,3,0)</f>
        <v>2</v>
      </c>
    </row>
    <row r="482" spans="1:13" x14ac:dyDescent="0.3">
      <c r="A482" s="4" t="s">
        <v>1451</v>
      </c>
      <c r="B482" s="4" t="s">
        <v>49</v>
      </c>
      <c r="C482" s="4" t="s">
        <v>63</v>
      </c>
      <c r="D482" s="4" t="s">
        <v>15</v>
      </c>
      <c r="E482" s="4">
        <v>53</v>
      </c>
      <c r="F482" s="4" t="s">
        <v>39</v>
      </c>
      <c r="G482" s="4" t="s">
        <v>108</v>
      </c>
      <c r="H482" s="4" t="s">
        <v>1452</v>
      </c>
      <c r="I482" s="4">
        <v>100041</v>
      </c>
      <c r="J482" s="4" t="s">
        <v>19</v>
      </c>
      <c r="K482" s="4" t="s">
        <v>1453</v>
      </c>
      <c r="L482" s="4" t="s">
        <v>21</v>
      </c>
      <c r="M482" s="1">
        <f>VLOOKUP(Employees!A482,Performance!A481:E981,3,0)</f>
        <v>5</v>
      </c>
    </row>
    <row r="483" spans="1:13" x14ac:dyDescent="0.3">
      <c r="A483" s="5" t="s">
        <v>1454</v>
      </c>
      <c r="B483" s="5" t="s">
        <v>13</v>
      </c>
      <c r="C483" s="5" t="s">
        <v>83</v>
      </c>
      <c r="D483" s="5" t="s">
        <v>24</v>
      </c>
      <c r="E483" s="5">
        <v>48</v>
      </c>
      <c r="F483" s="5" t="s">
        <v>39</v>
      </c>
      <c r="G483" s="5" t="s">
        <v>108</v>
      </c>
      <c r="H483" s="5" t="s">
        <v>1455</v>
      </c>
      <c r="I483" s="5">
        <v>88033</v>
      </c>
      <c r="J483" s="5" t="s">
        <v>80</v>
      </c>
      <c r="K483" s="5" t="s">
        <v>1456</v>
      </c>
      <c r="L483" s="5" t="s">
        <v>21</v>
      </c>
      <c r="M483" s="1">
        <f>VLOOKUP(Employees!A483,Performance!A482:E982,3,0)</f>
        <v>3</v>
      </c>
    </row>
    <row r="484" spans="1:13" x14ac:dyDescent="0.3">
      <c r="A484" s="4" t="s">
        <v>1457</v>
      </c>
      <c r="B484" s="4" t="s">
        <v>38</v>
      </c>
      <c r="C484" s="4" t="s">
        <v>45</v>
      </c>
      <c r="D484" s="4" t="s">
        <v>15</v>
      </c>
      <c r="E484" s="4">
        <v>40</v>
      </c>
      <c r="F484" s="4" t="s">
        <v>31</v>
      </c>
      <c r="G484" s="4" t="s">
        <v>108</v>
      </c>
      <c r="H484" s="4" t="s">
        <v>1458</v>
      </c>
      <c r="I484" s="4">
        <v>71291</v>
      </c>
      <c r="J484" s="4" t="s">
        <v>34</v>
      </c>
      <c r="K484" s="4" t="s">
        <v>1459</v>
      </c>
      <c r="L484" s="4" t="s">
        <v>36</v>
      </c>
      <c r="M484" s="1">
        <f>VLOOKUP(Employees!A484,Performance!A483:E983,3,0)</f>
        <v>3</v>
      </c>
    </row>
    <row r="485" spans="1:13" x14ac:dyDescent="0.3">
      <c r="A485" s="5" t="s">
        <v>1460</v>
      </c>
      <c r="B485" s="5" t="s">
        <v>143</v>
      </c>
      <c r="C485" s="5" t="s">
        <v>45</v>
      </c>
      <c r="D485" s="5" t="s">
        <v>15</v>
      </c>
      <c r="E485" s="5">
        <v>27</v>
      </c>
      <c r="F485" s="5" t="s">
        <v>25</v>
      </c>
      <c r="G485" s="5" t="s">
        <v>40</v>
      </c>
      <c r="H485" s="5" t="s">
        <v>1461</v>
      </c>
      <c r="I485" s="5">
        <v>48563</v>
      </c>
      <c r="J485" s="5" t="s">
        <v>34</v>
      </c>
      <c r="K485" s="5" t="s">
        <v>1462</v>
      </c>
      <c r="L485" s="5" t="s">
        <v>36</v>
      </c>
      <c r="M485" s="1">
        <f>VLOOKUP(Employees!A485,Performance!A484:E984,3,0)</f>
        <v>2</v>
      </c>
    </row>
    <row r="486" spans="1:13" x14ac:dyDescent="0.3">
      <c r="A486" s="4" t="s">
        <v>1463</v>
      </c>
      <c r="B486" s="4" t="s">
        <v>58</v>
      </c>
      <c r="C486" s="4" t="s">
        <v>45</v>
      </c>
      <c r="D486" s="4" t="s">
        <v>24</v>
      </c>
      <c r="E486" s="4">
        <v>37</v>
      </c>
      <c r="F486" s="4" t="s">
        <v>25</v>
      </c>
      <c r="G486" s="4" t="s">
        <v>32</v>
      </c>
      <c r="H486" s="4" t="s">
        <v>1464</v>
      </c>
      <c r="I486" s="4">
        <v>71454</v>
      </c>
      <c r="J486" s="4" t="s">
        <v>19</v>
      </c>
      <c r="K486" s="4" t="s">
        <v>1465</v>
      </c>
      <c r="L486" s="4" t="s">
        <v>21</v>
      </c>
      <c r="M486" s="1">
        <f>VLOOKUP(Employees!A486,Performance!A485:E985,3,0)</f>
        <v>4</v>
      </c>
    </row>
    <row r="487" spans="1:13" x14ac:dyDescent="0.3">
      <c r="A487" s="5" t="s">
        <v>1466</v>
      </c>
      <c r="B487" s="5" t="s">
        <v>94</v>
      </c>
      <c r="C487" s="5" t="s">
        <v>63</v>
      </c>
      <c r="D487" s="5" t="s">
        <v>24</v>
      </c>
      <c r="E487" s="5">
        <v>39</v>
      </c>
      <c r="F487" s="5" t="s">
        <v>25</v>
      </c>
      <c r="G487" s="5" t="s">
        <v>32</v>
      </c>
      <c r="H487" s="5" t="s">
        <v>1467</v>
      </c>
      <c r="I487" s="5">
        <v>44271</v>
      </c>
      <c r="J487" s="5" t="s">
        <v>34</v>
      </c>
      <c r="K487" s="5" t="s">
        <v>1468</v>
      </c>
      <c r="L487" s="5" t="s">
        <v>36</v>
      </c>
      <c r="M487" s="1">
        <f>VLOOKUP(Employees!A487,Performance!A486:E986,3,0)</f>
        <v>4</v>
      </c>
    </row>
    <row r="488" spans="1:13" x14ac:dyDescent="0.3">
      <c r="A488" s="4" t="s">
        <v>1469</v>
      </c>
      <c r="B488" s="4" t="s">
        <v>38</v>
      </c>
      <c r="C488" s="4" t="s">
        <v>14</v>
      </c>
      <c r="D488" s="4" t="s">
        <v>15</v>
      </c>
      <c r="E488" s="4">
        <v>56</v>
      </c>
      <c r="F488" s="4" t="s">
        <v>16</v>
      </c>
      <c r="G488" s="4" t="s">
        <v>17</v>
      </c>
      <c r="H488" s="4" t="s">
        <v>1470</v>
      </c>
      <c r="I488" s="4">
        <v>93401</v>
      </c>
      <c r="J488" s="4" t="s">
        <v>65</v>
      </c>
      <c r="K488" s="4" t="s">
        <v>1471</v>
      </c>
      <c r="L488" s="4" t="s">
        <v>21</v>
      </c>
      <c r="M488" s="1">
        <f>VLOOKUP(Employees!A488,Performance!A487:E987,3,0)</f>
        <v>2</v>
      </c>
    </row>
    <row r="489" spans="1:13" x14ac:dyDescent="0.3">
      <c r="A489" s="5" t="s">
        <v>1472</v>
      </c>
      <c r="B489" s="5" t="s">
        <v>71</v>
      </c>
      <c r="C489" s="5" t="s">
        <v>63</v>
      </c>
      <c r="D489" s="5" t="s">
        <v>24</v>
      </c>
      <c r="E489" s="5">
        <v>22</v>
      </c>
      <c r="F489" s="5" t="s">
        <v>25</v>
      </c>
      <c r="G489" s="5" t="s">
        <v>32</v>
      </c>
      <c r="H489" s="5" t="s">
        <v>1473</v>
      </c>
      <c r="I489" s="5">
        <v>56106</v>
      </c>
      <c r="J489" s="5" t="s">
        <v>19</v>
      </c>
      <c r="K489" s="5" t="s">
        <v>1474</v>
      </c>
      <c r="L489" s="5" t="s">
        <v>36</v>
      </c>
      <c r="M489" s="1">
        <f>VLOOKUP(Employees!A489,Performance!A488:E988,3,0)</f>
        <v>1</v>
      </c>
    </row>
    <row r="490" spans="1:13" x14ac:dyDescent="0.3">
      <c r="A490" s="4" t="s">
        <v>1475</v>
      </c>
      <c r="B490" s="4" t="s">
        <v>94</v>
      </c>
      <c r="C490" s="4" t="s">
        <v>95</v>
      </c>
      <c r="D490" s="4" t="s">
        <v>15</v>
      </c>
      <c r="E490" s="4">
        <v>38</v>
      </c>
      <c r="F490" s="4" t="s">
        <v>39</v>
      </c>
      <c r="G490" s="4" t="s">
        <v>32</v>
      </c>
      <c r="H490" s="4" t="s">
        <v>300</v>
      </c>
      <c r="I490" s="4">
        <v>106273</v>
      </c>
      <c r="J490" s="4" t="s">
        <v>19</v>
      </c>
      <c r="K490" s="4" t="s">
        <v>1476</v>
      </c>
      <c r="L490" s="4" t="s">
        <v>36</v>
      </c>
      <c r="M490" s="1">
        <f>VLOOKUP(Employees!A490,Performance!A489:E989,3,0)</f>
        <v>5</v>
      </c>
    </row>
    <row r="491" spans="1:13" x14ac:dyDescent="0.3">
      <c r="A491" s="5" t="s">
        <v>1477</v>
      </c>
      <c r="B491" s="5" t="s">
        <v>71</v>
      </c>
      <c r="C491" s="5" t="s">
        <v>130</v>
      </c>
      <c r="D491" s="5" t="s">
        <v>24</v>
      </c>
      <c r="E491" s="5">
        <v>45</v>
      </c>
      <c r="F491" s="5" t="s">
        <v>50</v>
      </c>
      <c r="G491" s="5" t="s">
        <v>40</v>
      </c>
      <c r="H491" s="5" t="s">
        <v>1478</v>
      </c>
      <c r="I491" s="5">
        <v>105710</v>
      </c>
      <c r="J491" s="5" t="s">
        <v>80</v>
      </c>
      <c r="K491" s="5" t="s">
        <v>1479</v>
      </c>
      <c r="L491" s="5" t="s">
        <v>21</v>
      </c>
      <c r="M491" s="1">
        <f>VLOOKUP(Employees!A491,Performance!A490:E990,3,0)</f>
        <v>2</v>
      </c>
    </row>
    <row r="492" spans="1:13" x14ac:dyDescent="0.3">
      <c r="A492" s="4" t="s">
        <v>1480</v>
      </c>
      <c r="B492" s="4" t="s">
        <v>143</v>
      </c>
      <c r="C492" s="4" t="s">
        <v>14</v>
      </c>
      <c r="D492" s="4" t="s">
        <v>15</v>
      </c>
      <c r="E492" s="4">
        <v>46</v>
      </c>
      <c r="F492" s="4" t="s">
        <v>50</v>
      </c>
      <c r="G492" s="4" t="s">
        <v>108</v>
      </c>
      <c r="H492" s="4" t="s">
        <v>270</v>
      </c>
      <c r="I492" s="4">
        <v>68751</v>
      </c>
      <c r="J492" s="4" t="s">
        <v>19</v>
      </c>
      <c r="K492" s="4" t="s">
        <v>1481</v>
      </c>
      <c r="L492" s="4" t="s">
        <v>21</v>
      </c>
      <c r="M492" s="1">
        <f>VLOOKUP(Employees!A492,Performance!A491:E991,3,0)</f>
        <v>4</v>
      </c>
    </row>
    <row r="493" spans="1:13" x14ac:dyDescent="0.3">
      <c r="A493" s="5" t="s">
        <v>1482</v>
      </c>
      <c r="B493" s="5" t="s">
        <v>38</v>
      </c>
      <c r="C493" s="5" t="s">
        <v>45</v>
      </c>
      <c r="D493" s="5" t="s">
        <v>15</v>
      </c>
      <c r="E493" s="5">
        <v>33</v>
      </c>
      <c r="F493" s="5" t="s">
        <v>16</v>
      </c>
      <c r="G493" s="5" t="s">
        <v>26</v>
      </c>
      <c r="H493" s="5" t="s">
        <v>1483</v>
      </c>
      <c r="I493" s="5">
        <v>63873</v>
      </c>
      <c r="J493" s="5" t="s">
        <v>65</v>
      </c>
      <c r="K493" s="5" t="s">
        <v>1484</v>
      </c>
      <c r="L493" s="5" t="s">
        <v>21</v>
      </c>
      <c r="M493" s="1">
        <f>VLOOKUP(Employees!A493,Performance!A492:E992,3,0)</f>
        <v>5</v>
      </c>
    </row>
    <row r="494" spans="1:13" x14ac:dyDescent="0.3">
      <c r="A494" s="4" t="s">
        <v>1485</v>
      </c>
      <c r="B494" s="4" t="s">
        <v>49</v>
      </c>
      <c r="C494" s="4" t="s">
        <v>45</v>
      </c>
      <c r="D494" s="4" t="s">
        <v>24</v>
      </c>
      <c r="E494" s="4">
        <v>39</v>
      </c>
      <c r="F494" s="4" t="s">
        <v>50</v>
      </c>
      <c r="G494" s="4" t="s">
        <v>40</v>
      </c>
      <c r="H494" s="4" t="s">
        <v>1009</v>
      </c>
      <c r="I494" s="4">
        <v>117465</v>
      </c>
      <c r="J494" s="4" t="s">
        <v>34</v>
      </c>
      <c r="K494" s="4" t="s">
        <v>1486</v>
      </c>
      <c r="L494" s="4" t="s">
        <v>36</v>
      </c>
      <c r="M494" s="1">
        <f>VLOOKUP(Employees!A494,Performance!A493:E993,3,0)</f>
        <v>1</v>
      </c>
    </row>
    <row r="495" spans="1:13" x14ac:dyDescent="0.3">
      <c r="A495" s="5" t="s">
        <v>1487</v>
      </c>
      <c r="B495" s="5" t="s">
        <v>44</v>
      </c>
      <c r="C495" s="5" t="s">
        <v>130</v>
      </c>
      <c r="D495" s="5" t="s">
        <v>15</v>
      </c>
      <c r="E495" s="5">
        <v>44</v>
      </c>
      <c r="F495" s="5" t="s">
        <v>31</v>
      </c>
      <c r="G495" s="5" t="s">
        <v>26</v>
      </c>
      <c r="H495" s="5" t="s">
        <v>1488</v>
      </c>
      <c r="I495" s="5">
        <v>59582</v>
      </c>
      <c r="J495" s="5" t="s">
        <v>80</v>
      </c>
      <c r="K495" s="5" t="s">
        <v>1489</v>
      </c>
      <c r="L495" s="5" t="s">
        <v>36</v>
      </c>
      <c r="M495" s="1">
        <f>VLOOKUP(Employees!A495,Performance!A494:E994,3,0)</f>
        <v>5</v>
      </c>
    </row>
    <row r="496" spans="1:13" x14ac:dyDescent="0.3">
      <c r="A496" s="4" t="s">
        <v>1490</v>
      </c>
      <c r="B496" s="4" t="s">
        <v>58</v>
      </c>
      <c r="C496" s="4" t="s">
        <v>83</v>
      </c>
      <c r="D496" s="4" t="s">
        <v>15</v>
      </c>
      <c r="E496" s="4">
        <v>51</v>
      </c>
      <c r="F496" s="4" t="s">
        <v>31</v>
      </c>
      <c r="G496" s="4" t="s">
        <v>17</v>
      </c>
      <c r="H496" s="4" t="s">
        <v>1491</v>
      </c>
      <c r="I496" s="4">
        <v>117932</v>
      </c>
      <c r="J496" s="4" t="s">
        <v>80</v>
      </c>
      <c r="K496" s="4" t="s">
        <v>1492</v>
      </c>
      <c r="L496" s="4" t="s">
        <v>21</v>
      </c>
      <c r="M496" s="1">
        <f>VLOOKUP(Employees!A496,Performance!A495:E995,3,0)</f>
        <v>4</v>
      </c>
    </row>
    <row r="497" spans="1:13" x14ac:dyDescent="0.3">
      <c r="A497" s="5" t="s">
        <v>1493</v>
      </c>
      <c r="B497" s="5" t="s">
        <v>49</v>
      </c>
      <c r="C497" s="5" t="s">
        <v>45</v>
      </c>
      <c r="D497" s="5" t="s">
        <v>24</v>
      </c>
      <c r="E497" s="5">
        <v>58</v>
      </c>
      <c r="F497" s="5" t="s">
        <v>16</v>
      </c>
      <c r="G497" s="5" t="s">
        <v>40</v>
      </c>
      <c r="H497" s="5" t="s">
        <v>1494</v>
      </c>
      <c r="I497" s="5">
        <v>95198</v>
      </c>
      <c r="J497" s="5" t="s">
        <v>80</v>
      </c>
      <c r="K497" s="5" t="s">
        <v>1495</v>
      </c>
      <c r="L497" s="5" t="s">
        <v>21</v>
      </c>
      <c r="M497" s="1">
        <f>VLOOKUP(Employees!A497,Performance!A496:E996,3,0)</f>
        <v>1</v>
      </c>
    </row>
    <row r="498" spans="1:13" x14ac:dyDescent="0.3">
      <c r="A498" s="4" t="s">
        <v>1496</v>
      </c>
      <c r="B498" s="4" t="s">
        <v>58</v>
      </c>
      <c r="C498" s="4" t="s">
        <v>165</v>
      </c>
      <c r="D498" s="4" t="s">
        <v>24</v>
      </c>
      <c r="E498" s="4">
        <v>24</v>
      </c>
      <c r="F498" s="4" t="s">
        <v>31</v>
      </c>
      <c r="G498" s="4" t="s">
        <v>32</v>
      </c>
      <c r="H498" s="4" t="s">
        <v>1497</v>
      </c>
      <c r="I498" s="4">
        <v>61647</v>
      </c>
      <c r="J498" s="4" t="s">
        <v>80</v>
      </c>
      <c r="K498" s="4" t="s">
        <v>1498</v>
      </c>
      <c r="L498" s="4" t="s">
        <v>36</v>
      </c>
      <c r="M498" s="1">
        <f>VLOOKUP(Employees!A498,Performance!A497:E997,3,0)</f>
        <v>2</v>
      </c>
    </row>
    <row r="499" spans="1:13" x14ac:dyDescent="0.3">
      <c r="A499" s="5" t="s">
        <v>1499</v>
      </c>
      <c r="B499" s="5" t="s">
        <v>94</v>
      </c>
      <c r="C499" s="5" t="s">
        <v>63</v>
      </c>
      <c r="D499" s="5" t="s">
        <v>15</v>
      </c>
      <c r="E499" s="5">
        <v>26</v>
      </c>
      <c r="F499" s="5" t="s">
        <v>50</v>
      </c>
      <c r="G499" s="5" t="s">
        <v>26</v>
      </c>
      <c r="H499" s="5" t="s">
        <v>1500</v>
      </c>
      <c r="I499" s="5">
        <v>41274</v>
      </c>
      <c r="J499" s="5" t="s">
        <v>80</v>
      </c>
      <c r="K499" s="5" t="s">
        <v>1501</v>
      </c>
      <c r="L499" s="5" t="s">
        <v>36</v>
      </c>
      <c r="M499" s="1">
        <f>VLOOKUP(Employees!A499,Performance!A498:E998,3,0)</f>
        <v>2</v>
      </c>
    </row>
    <row r="500" spans="1:13" x14ac:dyDescent="0.3">
      <c r="A500" s="4" t="s">
        <v>1502</v>
      </c>
      <c r="B500" s="4" t="s">
        <v>38</v>
      </c>
      <c r="C500" s="4" t="s">
        <v>83</v>
      </c>
      <c r="D500" s="4" t="s">
        <v>15</v>
      </c>
      <c r="E500" s="4">
        <v>40</v>
      </c>
      <c r="F500" s="4" t="s">
        <v>25</v>
      </c>
      <c r="G500" s="4" t="s">
        <v>40</v>
      </c>
      <c r="H500" s="4" t="s">
        <v>1503</v>
      </c>
      <c r="I500" s="4">
        <v>40450</v>
      </c>
      <c r="J500" s="4" t="s">
        <v>80</v>
      </c>
      <c r="K500" s="4" t="s">
        <v>1504</v>
      </c>
      <c r="L500" s="4" t="s">
        <v>21</v>
      </c>
      <c r="M500" s="1">
        <f>VLOOKUP(Employees!A500,Performance!A499:E999,3,0)</f>
        <v>3</v>
      </c>
    </row>
    <row r="501" spans="1:13" x14ac:dyDescent="0.3">
      <c r="A501" s="5" t="s">
        <v>1505</v>
      </c>
      <c r="B501" s="5" t="s">
        <v>38</v>
      </c>
      <c r="C501" s="5" t="s">
        <v>63</v>
      </c>
      <c r="D501" s="5" t="s">
        <v>24</v>
      </c>
      <c r="E501" s="5">
        <v>58</v>
      </c>
      <c r="F501" s="5" t="s">
        <v>39</v>
      </c>
      <c r="G501" s="5" t="s">
        <v>26</v>
      </c>
      <c r="H501" s="5" t="s">
        <v>1506</v>
      </c>
      <c r="I501" s="5">
        <v>42662</v>
      </c>
      <c r="J501" s="5" t="s">
        <v>65</v>
      </c>
      <c r="K501" s="5" t="s">
        <v>1507</v>
      </c>
      <c r="L501" s="5" t="s">
        <v>21</v>
      </c>
      <c r="M501" s="1">
        <f>VLOOKUP(Employees!A501,Performance!A500:E1000,3,0)</f>
        <v>3</v>
      </c>
    </row>
  </sheetData>
  <mergeCells count="2">
    <mergeCell ref="O6:P6"/>
    <mergeCell ref="R6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E10" sqref="E10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  <col min="4" max="4" width="15.33203125" bestFit="1" customWidth="1"/>
    <col min="5" max="5" width="10.77734375" bestFit="1" customWidth="1"/>
    <col min="6" max="6" width="13.5546875" bestFit="1" customWidth="1"/>
  </cols>
  <sheetData>
    <row r="1" spans="1:6" x14ac:dyDescent="0.3">
      <c r="A1" s="3" t="s">
        <v>5</v>
      </c>
      <c r="B1" s="3" t="s">
        <v>1508</v>
      </c>
      <c r="C1" s="3" t="s">
        <v>40</v>
      </c>
      <c r="D1" s="3" t="s">
        <v>1525</v>
      </c>
      <c r="E1" s="7"/>
      <c r="F1" s="7"/>
    </row>
    <row r="2" spans="1:6" x14ac:dyDescent="0.3">
      <c r="A2" s="4" t="s">
        <v>16</v>
      </c>
      <c r="B2" s="4" t="s">
        <v>1509</v>
      </c>
      <c r="C2" s="4" t="s">
        <v>1510</v>
      </c>
      <c r="D2" s="4">
        <f>AVERAGEIF(Performance!$F$2:$F$501,Departments!A2,Performance!$C$2:$C$501)</f>
        <v>2.97196261682243</v>
      </c>
      <c r="E2" s="8"/>
      <c r="F2" s="9"/>
    </row>
    <row r="3" spans="1:6" x14ac:dyDescent="0.3">
      <c r="A3" s="5" t="s">
        <v>50</v>
      </c>
      <c r="B3" s="5" t="s">
        <v>1511</v>
      </c>
      <c r="C3" s="5" t="s">
        <v>1512</v>
      </c>
      <c r="D3" s="4">
        <f>AVERAGEIF(Performance!$F$2:$F$501,Departments!A3,Performance!$C$2:$C$501)</f>
        <v>3.0277777777777777</v>
      </c>
      <c r="E3" s="8"/>
      <c r="F3" s="9"/>
    </row>
    <row r="4" spans="1:6" x14ac:dyDescent="0.3">
      <c r="A4" s="4" t="s">
        <v>25</v>
      </c>
      <c r="B4" s="4" t="s">
        <v>1513</v>
      </c>
      <c r="C4" s="4" t="s">
        <v>1514</v>
      </c>
      <c r="D4" s="4">
        <f>AVERAGEIF(Performance!$F$2:$F$501,Departments!A4,Performance!$C$2:$C$501)</f>
        <v>3</v>
      </c>
      <c r="E4" s="8"/>
      <c r="F4" s="9"/>
    </row>
    <row r="5" spans="1:6" x14ac:dyDescent="0.3">
      <c r="A5" s="5" t="s">
        <v>31</v>
      </c>
      <c r="B5" s="5" t="s">
        <v>1515</v>
      </c>
      <c r="C5" s="5" t="s">
        <v>1516</v>
      </c>
      <c r="D5" s="4">
        <f>AVERAGEIF(Performance!$F$2:$F$501,Departments!A5,Performance!$C$2:$C$501)</f>
        <v>3.0420168067226889</v>
      </c>
      <c r="E5" s="8"/>
      <c r="F5" s="9"/>
    </row>
    <row r="6" spans="1:6" x14ac:dyDescent="0.3">
      <c r="A6" s="4" t="s">
        <v>39</v>
      </c>
      <c r="B6" s="4" t="s">
        <v>1517</v>
      </c>
      <c r="C6" s="4" t="s">
        <v>1518</v>
      </c>
      <c r="D6" s="4">
        <f>AVERAGEIF(Performance!$F$2:$F$501,Departments!A6,Performance!$C$2:$C$501)</f>
        <v>2.8433734939759034</v>
      </c>
      <c r="E6" s="8"/>
      <c r="F6" s="9"/>
    </row>
    <row r="7" spans="1:6" x14ac:dyDescent="0.3">
      <c r="E7" s="8"/>
      <c r="F7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I7" sqref="I7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  <col min="6" max="6" width="16.33203125" customWidth="1"/>
    <col min="7" max="7" width="16.21875" bestFit="1" customWidth="1"/>
  </cols>
  <sheetData>
    <row r="1" spans="1:6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  <c r="F1" s="2" t="s">
        <v>1524</v>
      </c>
    </row>
    <row r="2" spans="1:6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  <c r="F2" s="1" t="str">
        <f>_xlfn.XLOOKUP(A2,Employees!A1:A501,Employees!F1:F501)</f>
        <v>D01</v>
      </c>
    </row>
    <row r="3" spans="1:6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  <c r="F3" s="1" t="str">
        <f>_xlfn.XLOOKUP(A3,Employees!A2:A502,Employees!F2:F502)</f>
        <v>D03</v>
      </c>
    </row>
    <row r="4" spans="1:6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  <c r="F4" s="1" t="str">
        <f>_xlfn.XLOOKUP(A4,Employees!A3:A503,Employees!F3:F503)</f>
        <v>D04</v>
      </c>
    </row>
    <row r="5" spans="1:6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  <c r="F5" s="1" t="str">
        <f>_xlfn.XLOOKUP(A5,Employees!A4:A504,Employees!F4:F504)</f>
        <v>D05</v>
      </c>
    </row>
    <row r="6" spans="1:6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  <c r="F6" s="1" t="str">
        <f>_xlfn.XLOOKUP(A6,Employees!A5:A505,Employees!F5:F505)</f>
        <v>D01</v>
      </c>
    </row>
    <row r="7" spans="1:6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  <c r="F7" s="1" t="str">
        <f>_xlfn.XLOOKUP(A7,Employees!A6:A506,Employees!F6:F506)</f>
        <v>D02</v>
      </c>
    </row>
    <row r="8" spans="1:6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  <c r="F8" s="1" t="str">
        <f>_xlfn.XLOOKUP(A8,Employees!A7:A507,Employees!F7:F507)</f>
        <v>D05</v>
      </c>
    </row>
    <row r="9" spans="1:6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  <c r="F9" s="1" t="str">
        <f>_xlfn.XLOOKUP(A9,Employees!A8:A508,Employees!F8:F508)</f>
        <v>D02</v>
      </c>
    </row>
    <row r="10" spans="1:6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  <c r="F10" s="1" t="str">
        <f>_xlfn.XLOOKUP(A10,Employees!A9:A509,Employees!F9:F509)</f>
        <v>D01</v>
      </c>
    </row>
    <row r="11" spans="1:6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  <c r="F11" s="1" t="str">
        <f>_xlfn.XLOOKUP(A11,Employees!A10:A510,Employees!F10:F510)</f>
        <v>D05</v>
      </c>
    </row>
    <row r="12" spans="1:6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  <c r="F12" s="1" t="str">
        <f>_xlfn.XLOOKUP(A12,Employees!A11:A511,Employees!F11:F511)</f>
        <v>D05</v>
      </c>
    </row>
    <row r="13" spans="1:6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  <c r="F13" s="1" t="str">
        <f>_xlfn.XLOOKUP(A13,Employees!A12:A512,Employees!F12:F512)</f>
        <v>D03</v>
      </c>
    </row>
    <row r="14" spans="1:6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  <c r="F14" s="1" t="str">
        <f>_xlfn.XLOOKUP(A14,Employees!A13:A513,Employees!F13:F513)</f>
        <v>D05</v>
      </c>
    </row>
    <row r="15" spans="1:6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  <c r="F15" s="1" t="str">
        <f>_xlfn.XLOOKUP(A15,Employees!A14:A514,Employees!F14:F514)</f>
        <v>D01</v>
      </c>
    </row>
    <row r="16" spans="1:6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  <c r="F16" s="1" t="str">
        <f>_xlfn.XLOOKUP(A16,Employees!A15:A515,Employees!F15:F515)</f>
        <v>D02</v>
      </c>
    </row>
    <row r="17" spans="1:6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  <c r="F17" s="1" t="str">
        <f>_xlfn.XLOOKUP(A17,Employees!A16:A516,Employees!F16:F516)</f>
        <v>D04</v>
      </c>
    </row>
    <row r="18" spans="1:6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  <c r="F18" s="1" t="str">
        <f>_xlfn.XLOOKUP(A18,Employees!A17:A517,Employees!F17:F517)</f>
        <v>D04</v>
      </c>
    </row>
    <row r="19" spans="1:6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  <c r="F19" s="1" t="str">
        <f>_xlfn.XLOOKUP(A19,Employees!A18:A518,Employees!F18:F518)</f>
        <v>D01</v>
      </c>
    </row>
    <row r="20" spans="1:6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  <c r="F20" s="1" t="str">
        <f>_xlfn.XLOOKUP(A20,Employees!A19:A519,Employees!F19:F519)</f>
        <v>D01</v>
      </c>
    </row>
    <row r="21" spans="1:6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  <c r="F21" s="1" t="str">
        <f>_xlfn.XLOOKUP(A21,Employees!A20:A520,Employees!F20:F520)</f>
        <v>D05</v>
      </c>
    </row>
    <row r="22" spans="1:6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  <c r="F22" s="1" t="str">
        <f>_xlfn.XLOOKUP(A22,Employees!A21:A521,Employees!F21:F521)</f>
        <v>D04</v>
      </c>
    </row>
    <row r="23" spans="1:6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  <c r="F23" s="1" t="str">
        <f>_xlfn.XLOOKUP(A23,Employees!A22:A522,Employees!F22:F522)</f>
        <v>D01</v>
      </c>
    </row>
    <row r="24" spans="1:6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  <c r="F24" s="1" t="str">
        <f>_xlfn.XLOOKUP(A24,Employees!A23:A523,Employees!F23:F523)</f>
        <v>D04</v>
      </c>
    </row>
    <row r="25" spans="1:6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  <c r="F25" s="1" t="str">
        <f>_xlfn.XLOOKUP(A25,Employees!A24:A524,Employees!F24:F524)</f>
        <v>D02</v>
      </c>
    </row>
    <row r="26" spans="1:6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  <c r="F26" s="1" t="str">
        <f>_xlfn.XLOOKUP(A26,Employees!A25:A525,Employees!F25:F525)</f>
        <v>D03</v>
      </c>
    </row>
    <row r="27" spans="1:6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  <c r="F27" s="1" t="str">
        <f>_xlfn.XLOOKUP(A27,Employees!A26:A526,Employees!F26:F526)</f>
        <v>D04</v>
      </c>
    </row>
    <row r="28" spans="1:6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  <c r="F28" s="1" t="str">
        <f>_xlfn.XLOOKUP(A28,Employees!A27:A527,Employees!F27:F527)</f>
        <v>D03</v>
      </c>
    </row>
    <row r="29" spans="1:6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  <c r="F29" s="1" t="str">
        <f>_xlfn.XLOOKUP(A29,Employees!A28:A528,Employees!F28:F528)</f>
        <v>D02</v>
      </c>
    </row>
    <row r="30" spans="1:6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  <c r="F30" s="1" t="str">
        <f>_xlfn.XLOOKUP(A30,Employees!A29:A529,Employees!F29:F529)</f>
        <v>D04</v>
      </c>
    </row>
    <row r="31" spans="1:6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  <c r="F31" s="1" t="str">
        <f>_xlfn.XLOOKUP(A31,Employees!A30:A530,Employees!F30:F530)</f>
        <v>D03</v>
      </c>
    </row>
    <row r="32" spans="1:6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  <c r="F32" s="1" t="str">
        <f>_xlfn.XLOOKUP(A32,Employees!A31:A531,Employees!F31:F531)</f>
        <v>D05</v>
      </c>
    </row>
    <row r="33" spans="1:6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  <c r="F33" s="1" t="str">
        <f>_xlfn.XLOOKUP(A33,Employees!A32:A532,Employees!F32:F532)</f>
        <v>D01</v>
      </c>
    </row>
    <row r="34" spans="1:6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  <c r="F34" s="1" t="str">
        <f>_xlfn.XLOOKUP(A34,Employees!A33:A533,Employees!F33:F533)</f>
        <v>D04</v>
      </c>
    </row>
    <row r="35" spans="1:6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  <c r="F35" s="1" t="str">
        <f>_xlfn.XLOOKUP(A35,Employees!A34:A534,Employees!F34:F534)</f>
        <v>D01</v>
      </c>
    </row>
    <row r="36" spans="1:6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  <c r="F36" s="1" t="str">
        <f>_xlfn.XLOOKUP(A36,Employees!A35:A535,Employees!F35:F535)</f>
        <v>D01</v>
      </c>
    </row>
    <row r="37" spans="1:6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  <c r="F37" s="1" t="str">
        <f>_xlfn.XLOOKUP(A37,Employees!A36:A536,Employees!F36:F536)</f>
        <v>D05</v>
      </c>
    </row>
    <row r="38" spans="1:6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  <c r="F38" s="1" t="str">
        <f>_xlfn.XLOOKUP(A38,Employees!A37:A537,Employees!F37:F537)</f>
        <v>D05</v>
      </c>
    </row>
    <row r="39" spans="1:6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  <c r="F39" s="1" t="str">
        <f>_xlfn.XLOOKUP(A39,Employees!A38:A538,Employees!F38:F538)</f>
        <v>D02</v>
      </c>
    </row>
    <row r="40" spans="1:6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  <c r="F40" s="1" t="str">
        <f>_xlfn.XLOOKUP(A40,Employees!A39:A539,Employees!F39:F539)</f>
        <v>D04</v>
      </c>
    </row>
    <row r="41" spans="1:6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  <c r="F41" s="1" t="str">
        <f>_xlfn.XLOOKUP(A41,Employees!A40:A540,Employees!F40:F540)</f>
        <v>D03</v>
      </c>
    </row>
    <row r="42" spans="1:6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  <c r="F42" s="1" t="str">
        <f>_xlfn.XLOOKUP(A42,Employees!A41:A541,Employees!F41:F541)</f>
        <v>D05</v>
      </c>
    </row>
    <row r="43" spans="1:6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  <c r="F43" s="1" t="str">
        <f>_xlfn.XLOOKUP(A43,Employees!A42:A542,Employees!F42:F542)</f>
        <v>D04</v>
      </c>
    </row>
    <row r="44" spans="1:6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  <c r="F44" s="1" t="str">
        <f>_xlfn.XLOOKUP(A44,Employees!A43:A543,Employees!F43:F543)</f>
        <v>D03</v>
      </c>
    </row>
    <row r="45" spans="1:6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  <c r="F45" s="1" t="str">
        <f>_xlfn.XLOOKUP(A45,Employees!A44:A544,Employees!F44:F544)</f>
        <v>D01</v>
      </c>
    </row>
    <row r="46" spans="1:6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  <c r="F46" s="1" t="str">
        <f>_xlfn.XLOOKUP(A46,Employees!A45:A545,Employees!F45:F545)</f>
        <v>D04</v>
      </c>
    </row>
    <row r="47" spans="1:6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  <c r="F47" s="1" t="str">
        <f>_xlfn.XLOOKUP(A47,Employees!A46:A546,Employees!F46:F546)</f>
        <v>D04</v>
      </c>
    </row>
    <row r="48" spans="1:6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  <c r="F48" s="1" t="str">
        <f>_xlfn.XLOOKUP(A48,Employees!A47:A547,Employees!F47:F547)</f>
        <v>D03</v>
      </c>
    </row>
    <row r="49" spans="1:6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  <c r="F49" s="1" t="str">
        <f>_xlfn.XLOOKUP(A49,Employees!A48:A548,Employees!F48:F548)</f>
        <v>D02</v>
      </c>
    </row>
    <row r="50" spans="1:6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  <c r="F50" s="1" t="str">
        <f>_xlfn.XLOOKUP(A50,Employees!A49:A549,Employees!F49:F549)</f>
        <v>D04</v>
      </c>
    </row>
    <row r="51" spans="1:6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  <c r="F51" s="1" t="str">
        <f>_xlfn.XLOOKUP(A51,Employees!A50:A550,Employees!F50:F550)</f>
        <v>D04</v>
      </c>
    </row>
    <row r="52" spans="1:6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  <c r="F52" s="1" t="str">
        <f>_xlfn.XLOOKUP(A52,Employees!A51:A551,Employees!F51:F551)</f>
        <v>D01</v>
      </c>
    </row>
    <row r="53" spans="1:6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  <c r="F53" s="1" t="str">
        <f>_xlfn.XLOOKUP(A53,Employees!A52:A552,Employees!F52:F552)</f>
        <v>D05</v>
      </c>
    </row>
    <row r="54" spans="1:6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  <c r="F54" s="1" t="str">
        <f>_xlfn.XLOOKUP(A54,Employees!A53:A553,Employees!F53:F553)</f>
        <v>D01</v>
      </c>
    </row>
    <row r="55" spans="1:6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  <c r="F55" s="1" t="str">
        <f>_xlfn.XLOOKUP(A55,Employees!A54:A554,Employees!F54:F554)</f>
        <v>D02</v>
      </c>
    </row>
    <row r="56" spans="1:6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  <c r="F56" s="1" t="str">
        <f>_xlfn.XLOOKUP(A56,Employees!A55:A555,Employees!F55:F555)</f>
        <v>D02</v>
      </c>
    </row>
    <row r="57" spans="1:6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  <c r="F57" s="1" t="str">
        <f>_xlfn.XLOOKUP(A57,Employees!A56:A556,Employees!F56:F556)</f>
        <v>D02</v>
      </c>
    </row>
    <row r="58" spans="1:6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  <c r="F58" s="1" t="str">
        <f>_xlfn.XLOOKUP(A58,Employees!A57:A557,Employees!F57:F557)</f>
        <v>D01</v>
      </c>
    </row>
    <row r="59" spans="1:6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  <c r="F59" s="1" t="str">
        <f>_xlfn.XLOOKUP(A59,Employees!A58:A558,Employees!F58:F558)</f>
        <v>D04</v>
      </c>
    </row>
    <row r="60" spans="1:6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  <c r="F60" s="1" t="str">
        <f>_xlfn.XLOOKUP(A60,Employees!A59:A559,Employees!F59:F559)</f>
        <v>D02</v>
      </c>
    </row>
    <row r="61" spans="1:6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  <c r="F61" s="1" t="str">
        <f>_xlfn.XLOOKUP(A61,Employees!A60:A560,Employees!F60:F560)</f>
        <v>D02</v>
      </c>
    </row>
    <row r="62" spans="1:6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  <c r="F62" s="1" t="str">
        <f>_xlfn.XLOOKUP(A62,Employees!A61:A561,Employees!F61:F561)</f>
        <v>D01</v>
      </c>
    </row>
    <row r="63" spans="1:6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  <c r="F63" s="1" t="str">
        <f>_xlfn.XLOOKUP(A63,Employees!A62:A562,Employees!F62:F562)</f>
        <v>D04</v>
      </c>
    </row>
    <row r="64" spans="1:6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  <c r="F64" s="1" t="str">
        <f>_xlfn.XLOOKUP(A64,Employees!A63:A563,Employees!F63:F563)</f>
        <v>D01</v>
      </c>
    </row>
    <row r="65" spans="1:6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  <c r="F65" s="1" t="str">
        <f>_xlfn.XLOOKUP(A65,Employees!A64:A564,Employees!F64:F564)</f>
        <v>D02</v>
      </c>
    </row>
    <row r="66" spans="1:6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  <c r="F66" s="1" t="str">
        <f>_xlfn.XLOOKUP(A66,Employees!A65:A565,Employees!F65:F565)</f>
        <v>D01</v>
      </c>
    </row>
    <row r="67" spans="1:6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  <c r="F67" s="1" t="str">
        <f>_xlfn.XLOOKUP(A67,Employees!A66:A566,Employees!F66:F566)</f>
        <v>D01</v>
      </c>
    </row>
    <row r="68" spans="1:6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  <c r="F68" s="1" t="str">
        <f>_xlfn.XLOOKUP(A68,Employees!A67:A567,Employees!F67:F567)</f>
        <v>D04</v>
      </c>
    </row>
    <row r="69" spans="1:6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  <c r="F69" s="1" t="str">
        <f>_xlfn.XLOOKUP(A69,Employees!A68:A568,Employees!F68:F568)</f>
        <v>D01</v>
      </c>
    </row>
    <row r="70" spans="1:6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  <c r="F70" s="1" t="str">
        <f>_xlfn.XLOOKUP(A70,Employees!A69:A569,Employees!F69:F569)</f>
        <v>D02</v>
      </c>
    </row>
    <row r="71" spans="1:6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  <c r="F71" s="1" t="str">
        <f>_xlfn.XLOOKUP(A71,Employees!A70:A570,Employees!F70:F570)</f>
        <v>D04</v>
      </c>
    </row>
    <row r="72" spans="1:6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  <c r="F72" s="1" t="str">
        <f>_xlfn.XLOOKUP(A72,Employees!A71:A571,Employees!F71:F571)</f>
        <v>D04</v>
      </c>
    </row>
    <row r="73" spans="1:6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  <c r="F73" s="1" t="str">
        <f>_xlfn.XLOOKUP(A73,Employees!A72:A572,Employees!F72:F572)</f>
        <v>D04</v>
      </c>
    </row>
    <row r="74" spans="1:6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  <c r="F74" s="1" t="str">
        <f>_xlfn.XLOOKUP(A74,Employees!A73:A573,Employees!F73:F573)</f>
        <v>D02</v>
      </c>
    </row>
    <row r="75" spans="1:6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  <c r="F75" s="1" t="str">
        <f>_xlfn.XLOOKUP(A75,Employees!A74:A574,Employees!F74:F574)</f>
        <v>D01</v>
      </c>
    </row>
    <row r="76" spans="1:6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  <c r="F76" s="1" t="str">
        <f>_xlfn.XLOOKUP(A76,Employees!A75:A575,Employees!F75:F575)</f>
        <v>D01</v>
      </c>
    </row>
    <row r="77" spans="1:6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  <c r="F77" s="1" t="str">
        <f>_xlfn.XLOOKUP(A77,Employees!A76:A576,Employees!F76:F576)</f>
        <v>D02</v>
      </c>
    </row>
    <row r="78" spans="1:6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  <c r="F78" s="1" t="str">
        <f>_xlfn.XLOOKUP(A78,Employees!A77:A577,Employees!F77:F577)</f>
        <v>D03</v>
      </c>
    </row>
    <row r="79" spans="1:6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  <c r="F79" s="1" t="str">
        <f>_xlfn.XLOOKUP(A79,Employees!A78:A578,Employees!F78:F578)</f>
        <v>D02</v>
      </c>
    </row>
    <row r="80" spans="1:6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  <c r="F80" s="1" t="str">
        <f>_xlfn.XLOOKUP(A80,Employees!A79:A579,Employees!F79:F579)</f>
        <v>D05</v>
      </c>
    </row>
    <row r="81" spans="1:6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  <c r="F81" s="1" t="str">
        <f>_xlfn.XLOOKUP(A81,Employees!A80:A580,Employees!F80:F580)</f>
        <v>D04</v>
      </c>
    </row>
    <row r="82" spans="1:6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  <c r="F82" s="1" t="str">
        <f>_xlfn.XLOOKUP(A82,Employees!A81:A581,Employees!F81:F581)</f>
        <v>D01</v>
      </c>
    </row>
    <row r="83" spans="1:6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  <c r="F83" s="1" t="str">
        <f>_xlfn.XLOOKUP(A83,Employees!A82:A582,Employees!F82:F582)</f>
        <v>D03</v>
      </c>
    </row>
    <row r="84" spans="1:6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  <c r="F84" s="1" t="str">
        <f>_xlfn.XLOOKUP(A84,Employees!A83:A583,Employees!F83:F583)</f>
        <v>D04</v>
      </c>
    </row>
    <row r="85" spans="1:6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  <c r="F85" s="1" t="str">
        <f>_xlfn.XLOOKUP(A85,Employees!A84:A584,Employees!F84:F584)</f>
        <v>D01</v>
      </c>
    </row>
    <row r="86" spans="1:6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  <c r="F86" s="1" t="str">
        <f>_xlfn.XLOOKUP(A86,Employees!A85:A585,Employees!F85:F585)</f>
        <v>D04</v>
      </c>
    </row>
    <row r="87" spans="1:6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  <c r="F87" s="1" t="str">
        <f>_xlfn.XLOOKUP(A87,Employees!A86:A586,Employees!F86:F586)</f>
        <v>D05</v>
      </c>
    </row>
    <row r="88" spans="1:6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  <c r="F88" s="1" t="str">
        <f>_xlfn.XLOOKUP(A88,Employees!A87:A587,Employees!F87:F587)</f>
        <v>D02</v>
      </c>
    </row>
    <row r="89" spans="1:6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  <c r="F89" s="1" t="str">
        <f>_xlfn.XLOOKUP(A89,Employees!A88:A588,Employees!F88:F588)</f>
        <v>D05</v>
      </c>
    </row>
    <row r="90" spans="1:6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  <c r="F90" s="1" t="str">
        <f>_xlfn.XLOOKUP(A90,Employees!A89:A589,Employees!F89:F589)</f>
        <v>D03</v>
      </c>
    </row>
    <row r="91" spans="1:6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  <c r="F91" s="1" t="str">
        <f>_xlfn.XLOOKUP(A91,Employees!A90:A590,Employees!F90:F590)</f>
        <v>D03</v>
      </c>
    </row>
    <row r="92" spans="1:6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  <c r="F92" s="1" t="str">
        <f>_xlfn.XLOOKUP(A92,Employees!A91:A591,Employees!F91:F591)</f>
        <v>D02</v>
      </c>
    </row>
    <row r="93" spans="1:6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  <c r="F93" s="1" t="str">
        <f>_xlfn.XLOOKUP(A93,Employees!A92:A592,Employees!F92:F592)</f>
        <v>D03</v>
      </c>
    </row>
    <row r="94" spans="1:6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  <c r="F94" s="1" t="str">
        <f>_xlfn.XLOOKUP(A94,Employees!A93:A593,Employees!F93:F593)</f>
        <v>D02</v>
      </c>
    </row>
    <row r="95" spans="1:6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  <c r="F95" s="1" t="str">
        <f>_xlfn.XLOOKUP(A95,Employees!A94:A594,Employees!F94:F594)</f>
        <v>D01</v>
      </c>
    </row>
    <row r="96" spans="1:6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  <c r="F96" s="1" t="str">
        <f>_xlfn.XLOOKUP(A96,Employees!A95:A595,Employees!F95:F595)</f>
        <v>D04</v>
      </c>
    </row>
    <row r="97" spans="1:6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  <c r="F97" s="1" t="str">
        <f>_xlfn.XLOOKUP(A97,Employees!A96:A596,Employees!F96:F596)</f>
        <v>D04</v>
      </c>
    </row>
    <row r="98" spans="1:6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  <c r="F98" s="1" t="str">
        <f>_xlfn.XLOOKUP(A98,Employees!A97:A597,Employees!F97:F597)</f>
        <v>D03</v>
      </c>
    </row>
    <row r="99" spans="1:6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  <c r="F99" s="1" t="str">
        <f>_xlfn.XLOOKUP(A99,Employees!A98:A598,Employees!F98:F598)</f>
        <v>D05</v>
      </c>
    </row>
    <row r="100" spans="1:6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  <c r="F100" s="1" t="str">
        <f>_xlfn.XLOOKUP(A100,Employees!A99:A599,Employees!F99:F599)</f>
        <v>D04</v>
      </c>
    </row>
    <row r="101" spans="1:6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  <c r="F101" s="1" t="str">
        <f>_xlfn.XLOOKUP(A101,Employees!A100:A600,Employees!F100:F600)</f>
        <v>D02</v>
      </c>
    </row>
    <row r="102" spans="1:6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  <c r="F102" s="1" t="str">
        <f>_xlfn.XLOOKUP(A102,Employees!A101:A601,Employees!F101:F601)</f>
        <v>D03</v>
      </c>
    </row>
    <row r="103" spans="1:6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  <c r="F103" s="1" t="str">
        <f>_xlfn.XLOOKUP(A103,Employees!A102:A602,Employees!F102:F602)</f>
        <v>D02</v>
      </c>
    </row>
    <row r="104" spans="1:6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  <c r="F104" s="1" t="str">
        <f>_xlfn.XLOOKUP(A104,Employees!A103:A603,Employees!F103:F603)</f>
        <v>D02</v>
      </c>
    </row>
    <row r="105" spans="1:6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  <c r="F105" s="1" t="str">
        <f>_xlfn.XLOOKUP(A105,Employees!A104:A604,Employees!F104:F604)</f>
        <v>D01</v>
      </c>
    </row>
    <row r="106" spans="1:6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  <c r="F106" s="1" t="str">
        <f>_xlfn.XLOOKUP(A106,Employees!A105:A605,Employees!F105:F605)</f>
        <v>D01</v>
      </c>
    </row>
    <row r="107" spans="1:6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  <c r="F107" s="1" t="str">
        <f>_xlfn.XLOOKUP(A107,Employees!A106:A606,Employees!F106:F606)</f>
        <v>D02</v>
      </c>
    </row>
    <row r="108" spans="1:6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  <c r="F108" s="1" t="str">
        <f>_xlfn.XLOOKUP(A108,Employees!A107:A607,Employees!F107:F607)</f>
        <v>D04</v>
      </c>
    </row>
    <row r="109" spans="1:6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  <c r="F109" s="1" t="str">
        <f>_xlfn.XLOOKUP(A109,Employees!A108:A608,Employees!F108:F608)</f>
        <v>D05</v>
      </c>
    </row>
    <row r="110" spans="1:6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  <c r="F110" s="1" t="str">
        <f>_xlfn.XLOOKUP(A110,Employees!A109:A609,Employees!F109:F609)</f>
        <v>D02</v>
      </c>
    </row>
    <row r="111" spans="1:6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  <c r="F111" s="1" t="str">
        <f>_xlfn.XLOOKUP(A111,Employees!A110:A610,Employees!F110:F610)</f>
        <v>D04</v>
      </c>
    </row>
    <row r="112" spans="1:6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  <c r="F112" s="1" t="str">
        <f>_xlfn.XLOOKUP(A112,Employees!A111:A611,Employees!F111:F611)</f>
        <v>D03</v>
      </c>
    </row>
    <row r="113" spans="1:6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  <c r="F113" s="1" t="str">
        <f>_xlfn.XLOOKUP(A113,Employees!A112:A612,Employees!F112:F612)</f>
        <v>D01</v>
      </c>
    </row>
    <row r="114" spans="1:6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  <c r="F114" s="1" t="str">
        <f>_xlfn.XLOOKUP(A114,Employees!A113:A613,Employees!F113:F613)</f>
        <v>D01</v>
      </c>
    </row>
    <row r="115" spans="1:6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  <c r="F115" s="1" t="str">
        <f>_xlfn.XLOOKUP(A115,Employees!A114:A614,Employees!F114:F614)</f>
        <v>D04</v>
      </c>
    </row>
    <row r="116" spans="1:6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  <c r="F116" s="1" t="str">
        <f>_xlfn.XLOOKUP(A116,Employees!A115:A615,Employees!F115:F615)</f>
        <v>D03</v>
      </c>
    </row>
    <row r="117" spans="1:6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  <c r="F117" s="1" t="str">
        <f>_xlfn.XLOOKUP(A117,Employees!A116:A616,Employees!F116:F616)</f>
        <v>D05</v>
      </c>
    </row>
    <row r="118" spans="1:6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  <c r="F118" s="1" t="str">
        <f>_xlfn.XLOOKUP(A118,Employees!A117:A617,Employees!F117:F617)</f>
        <v>D02</v>
      </c>
    </row>
    <row r="119" spans="1:6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  <c r="F119" s="1" t="str">
        <f>_xlfn.XLOOKUP(A119,Employees!A118:A618,Employees!F118:F618)</f>
        <v>D04</v>
      </c>
    </row>
    <row r="120" spans="1:6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  <c r="F120" s="1" t="str">
        <f>_xlfn.XLOOKUP(A120,Employees!A119:A619,Employees!F119:F619)</f>
        <v>D02</v>
      </c>
    </row>
    <row r="121" spans="1:6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  <c r="F121" s="1" t="str">
        <f>_xlfn.XLOOKUP(A121,Employees!A120:A620,Employees!F120:F620)</f>
        <v>D02</v>
      </c>
    </row>
    <row r="122" spans="1:6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  <c r="F122" s="1" t="str">
        <f>_xlfn.XLOOKUP(A122,Employees!A121:A621,Employees!F121:F621)</f>
        <v>D03</v>
      </c>
    </row>
    <row r="123" spans="1:6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  <c r="F123" s="1" t="str">
        <f>_xlfn.XLOOKUP(A123,Employees!A122:A622,Employees!F122:F622)</f>
        <v>D01</v>
      </c>
    </row>
    <row r="124" spans="1:6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  <c r="F124" s="1" t="str">
        <f>_xlfn.XLOOKUP(A124,Employees!A123:A623,Employees!F123:F623)</f>
        <v>D04</v>
      </c>
    </row>
    <row r="125" spans="1:6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  <c r="F125" s="1" t="str">
        <f>_xlfn.XLOOKUP(A125,Employees!A124:A624,Employees!F124:F624)</f>
        <v>D03</v>
      </c>
    </row>
    <row r="126" spans="1:6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  <c r="F126" s="1" t="str">
        <f>_xlfn.XLOOKUP(A126,Employees!A125:A625,Employees!F125:F625)</f>
        <v>D04</v>
      </c>
    </row>
    <row r="127" spans="1:6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  <c r="F127" s="1" t="str">
        <f>_xlfn.XLOOKUP(A127,Employees!A126:A626,Employees!F126:F626)</f>
        <v>D02</v>
      </c>
    </row>
    <row r="128" spans="1:6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  <c r="F128" s="1" t="str">
        <f>_xlfn.XLOOKUP(A128,Employees!A127:A627,Employees!F127:F627)</f>
        <v>D03</v>
      </c>
    </row>
    <row r="129" spans="1:6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  <c r="F129" s="1" t="str">
        <f>_xlfn.XLOOKUP(A129,Employees!A128:A628,Employees!F128:F628)</f>
        <v>D03</v>
      </c>
    </row>
    <row r="130" spans="1:6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  <c r="F130" s="1" t="str">
        <f>_xlfn.XLOOKUP(A130,Employees!A129:A629,Employees!F129:F629)</f>
        <v>D01</v>
      </c>
    </row>
    <row r="131" spans="1:6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  <c r="F131" s="1" t="str">
        <f>_xlfn.XLOOKUP(A131,Employees!A130:A630,Employees!F130:F630)</f>
        <v>D01</v>
      </c>
    </row>
    <row r="132" spans="1:6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  <c r="F132" s="1" t="str">
        <f>_xlfn.XLOOKUP(A132,Employees!A131:A631,Employees!F131:F631)</f>
        <v>D04</v>
      </c>
    </row>
    <row r="133" spans="1:6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  <c r="F133" s="1" t="str">
        <f>_xlfn.XLOOKUP(A133,Employees!A132:A632,Employees!F132:F632)</f>
        <v>D04</v>
      </c>
    </row>
    <row r="134" spans="1:6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  <c r="F134" s="1" t="str">
        <f>_xlfn.XLOOKUP(A134,Employees!A133:A633,Employees!F133:F633)</f>
        <v>D03</v>
      </c>
    </row>
    <row r="135" spans="1:6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  <c r="F135" s="1" t="str">
        <f>_xlfn.XLOOKUP(A135,Employees!A134:A634,Employees!F134:F634)</f>
        <v>D04</v>
      </c>
    </row>
    <row r="136" spans="1:6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  <c r="F136" s="1" t="str">
        <f>_xlfn.XLOOKUP(A136,Employees!A135:A635,Employees!F135:F635)</f>
        <v>D04</v>
      </c>
    </row>
    <row r="137" spans="1:6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  <c r="F137" s="1" t="str">
        <f>_xlfn.XLOOKUP(A137,Employees!A136:A636,Employees!F136:F636)</f>
        <v>D01</v>
      </c>
    </row>
    <row r="138" spans="1:6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  <c r="F138" s="1" t="str">
        <f>_xlfn.XLOOKUP(A138,Employees!A137:A637,Employees!F137:F637)</f>
        <v>D05</v>
      </c>
    </row>
    <row r="139" spans="1:6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  <c r="F139" s="1" t="str">
        <f>_xlfn.XLOOKUP(A139,Employees!A138:A638,Employees!F138:F638)</f>
        <v>D05</v>
      </c>
    </row>
    <row r="140" spans="1:6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  <c r="F140" s="1" t="str">
        <f>_xlfn.XLOOKUP(A140,Employees!A139:A639,Employees!F139:F639)</f>
        <v>D04</v>
      </c>
    </row>
    <row r="141" spans="1:6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  <c r="F141" s="1" t="str">
        <f>_xlfn.XLOOKUP(A141,Employees!A140:A640,Employees!F140:F640)</f>
        <v>D04</v>
      </c>
    </row>
    <row r="142" spans="1:6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  <c r="F142" s="1" t="str">
        <f>_xlfn.XLOOKUP(A142,Employees!A141:A641,Employees!F141:F641)</f>
        <v>D05</v>
      </c>
    </row>
    <row r="143" spans="1:6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  <c r="F143" s="1" t="str">
        <f>_xlfn.XLOOKUP(A143,Employees!A142:A642,Employees!F142:F642)</f>
        <v>D04</v>
      </c>
    </row>
    <row r="144" spans="1:6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  <c r="F144" s="1" t="str">
        <f>_xlfn.XLOOKUP(A144,Employees!A143:A643,Employees!F143:F643)</f>
        <v>D02</v>
      </c>
    </row>
    <row r="145" spans="1:6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  <c r="F145" s="1" t="str">
        <f>_xlfn.XLOOKUP(A145,Employees!A144:A644,Employees!F144:F644)</f>
        <v>D05</v>
      </c>
    </row>
    <row r="146" spans="1:6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  <c r="F146" s="1" t="str">
        <f>_xlfn.XLOOKUP(A146,Employees!A145:A645,Employees!F145:F645)</f>
        <v>D02</v>
      </c>
    </row>
    <row r="147" spans="1:6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  <c r="F147" s="1" t="str">
        <f>_xlfn.XLOOKUP(A147,Employees!A146:A646,Employees!F146:F646)</f>
        <v>D01</v>
      </c>
    </row>
    <row r="148" spans="1:6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  <c r="F148" s="1" t="str">
        <f>_xlfn.XLOOKUP(A148,Employees!A147:A647,Employees!F147:F647)</f>
        <v>D03</v>
      </c>
    </row>
    <row r="149" spans="1:6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  <c r="F149" s="1" t="str">
        <f>_xlfn.XLOOKUP(A149,Employees!A148:A648,Employees!F148:F648)</f>
        <v>D02</v>
      </c>
    </row>
    <row r="150" spans="1:6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  <c r="F150" s="1" t="str">
        <f>_xlfn.XLOOKUP(A150,Employees!A149:A649,Employees!F149:F649)</f>
        <v>D01</v>
      </c>
    </row>
    <row r="151" spans="1:6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  <c r="F151" s="1" t="str">
        <f>_xlfn.XLOOKUP(A151,Employees!A150:A650,Employees!F150:F650)</f>
        <v>D03</v>
      </c>
    </row>
    <row r="152" spans="1:6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  <c r="F152" s="1" t="str">
        <f>_xlfn.XLOOKUP(A152,Employees!A151:A651,Employees!F151:F651)</f>
        <v>D02</v>
      </c>
    </row>
    <row r="153" spans="1:6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  <c r="F153" s="1" t="str">
        <f>_xlfn.XLOOKUP(A153,Employees!A152:A652,Employees!F152:F652)</f>
        <v>D03</v>
      </c>
    </row>
    <row r="154" spans="1:6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  <c r="F154" s="1" t="str">
        <f>_xlfn.XLOOKUP(A154,Employees!A153:A653,Employees!F153:F653)</f>
        <v>D04</v>
      </c>
    </row>
    <row r="155" spans="1:6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  <c r="F155" s="1" t="str">
        <f>_xlfn.XLOOKUP(A155,Employees!A154:A654,Employees!F154:F654)</f>
        <v>D04</v>
      </c>
    </row>
    <row r="156" spans="1:6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  <c r="F156" s="1" t="str">
        <f>_xlfn.XLOOKUP(A156,Employees!A155:A655,Employees!F155:F655)</f>
        <v>D01</v>
      </c>
    </row>
    <row r="157" spans="1:6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  <c r="F157" s="1" t="str">
        <f>_xlfn.XLOOKUP(A157,Employees!A156:A656,Employees!F156:F656)</f>
        <v>D03</v>
      </c>
    </row>
    <row r="158" spans="1:6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  <c r="F158" s="1" t="str">
        <f>_xlfn.XLOOKUP(A158,Employees!A157:A657,Employees!F157:F657)</f>
        <v>D02</v>
      </c>
    </row>
    <row r="159" spans="1:6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  <c r="F159" s="1" t="str">
        <f>_xlfn.XLOOKUP(A159,Employees!A158:A658,Employees!F158:F658)</f>
        <v>D04</v>
      </c>
    </row>
    <row r="160" spans="1:6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  <c r="F160" s="1" t="str">
        <f>_xlfn.XLOOKUP(A160,Employees!A159:A659,Employees!F159:F659)</f>
        <v>D02</v>
      </c>
    </row>
    <row r="161" spans="1:6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  <c r="F161" s="1" t="str">
        <f>_xlfn.XLOOKUP(A161,Employees!A160:A660,Employees!F160:F660)</f>
        <v>D02</v>
      </c>
    </row>
    <row r="162" spans="1:6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  <c r="F162" s="1" t="str">
        <f>_xlfn.XLOOKUP(A162,Employees!A161:A661,Employees!F161:F661)</f>
        <v>D04</v>
      </c>
    </row>
    <row r="163" spans="1:6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  <c r="F163" s="1" t="str">
        <f>_xlfn.XLOOKUP(A163,Employees!A162:A662,Employees!F162:F662)</f>
        <v>D02</v>
      </c>
    </row>
    <row r="164" spans="1:6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  <c r="F164" s="1" t="str">
        <f>_xlfn.XLOOKUP(A164,Employees!A163:A663,Employees!F163:F663)</f>
        <v>D04</v>
      </c>
    </row>
    <row r="165" spans="1:6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  <c r="F165" s="1" t="str">
        <f>_xlfn.XLOOKUP(A165,Employees!A164:A664,Employees!F164:F664)</f>
        <v>D04</v>
      </c>
    </row>
    <row r="166" spans="1:6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  <c r="F166" s="1" t="str">
        <f>_xlfn.XLOOKUP(A166,Employees!A165:A665,Employees!F165:F665)</f>
        <v>D02</v>
      </c>
    </row>
    <row r="167" spans="1:6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  <c r="F167" s="1" t="str">
        <f>_xlfn.XLOOKUP(A167,Employees!A166:A666,Employees!F166:F666)</f>
        <v>D01</v>
      </c>
    </row>
    <row r="168" spans="1:6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  <c r="F168" s="1" t="str">
        <f>_xlfn.XLOOKUP(A168,Employees!A167:A667,Employees!F167:F667)</f>
        <v>D05</v>
      </c>
    </row>
    <row r="169" spans="1:6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  <c r="F169" s="1" t="str">
        <f>_xlfn.XLOOKUP(A169,Employees!A168:A668,Employees!F168:F668)</f>
        <v>D05</v>
      </c>
    </row>
    <row r="170" spans="1:6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  <c r="F170" s="1" t="str">
        <f>_xlfn.XLOOKUP(A170,Employees!A169:A669,Employees!F169:F669)</f>
        <v>D02</v>
      </c>
    </row>
    <row r="171" spans="1:6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  <c r="F171" s="1" t="str">
        <f>_xlfn.XLOOKUP(A171,Employees!A170:A670,Employees!F170:F670)</f>
        <v>D01</v>
      </c>
    </row>
    <row r="172" spans="1:6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  <c r="F172" s="1" t="str">
        <f>_xlfn.XLOOKUP(A172,Employees!A171:A671,Employees!F171:F671)</f>
        <v>D03</v>
      </c>
    </row>
    <row r="173" spans="1:6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  <c r="F173" s="1" t="str">
        <f>_xlfn.XLOOKUP(A173,Employees!A172:A672,Employees!F172:F672)</f>
        <v>D03</v>
      </c>
    </row>
    <row r="174" spans="1:6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  <c r="F174" s="1" t="str">
        <f>_xlfn.XLOOKUP(A174,Employees!A173:A673,Employees!F173:F673)</f>
        <v>D01</v>
      </c>
    </row>
    <row r="175" spans="1:6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  <c r="F175" s="1" t="str">
        <f>_xlfn.XLOOKUP(A175,Employees!A174:A674,Employees!F174:F674)</f>
        <v>D05</v>
      </c>
    </row>
    <row r="176" spans="1:6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  <c r="F176" s="1" t="str">
        <f>_xlfn.XLOOKUP(A176,Employees!A175:A675,Employees!F175:F675)</f>
        <v>D01</v>
      </c>
    </row>
    <row r="177" spans="1:6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  <c r="F177" s="1" t="str">
        <f>_xlfn.XLOOKUP(A177,Employees!A176:A676,Employees!F176:F676)</f>
        <v>D01</v>
      </c>
    </row>
    <row r="178" spans="1:6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  <c r="F178" s="1" t="str">
        <f>_xlfn.XLOOKUP(A178,Employees!A177:A677,Employees!F177:F677)</f>
        <v>D04</v>
      </c>
    </row>
    <row r="179" spans="1:6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  <c r="F179" s="1" t="str">
        <f>_xlfn.XLOOKUP(A179,Employees!A178:A678,Employees!F178:F678)</f>
        <v>D01</v>
      </c>
    </row>
    <row r="180" spans="1:6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  <c r="F180" s="1" t="str">
        <f>_xlfn.XLOOKUP(A180,Employees!A179:A679,Employees!F179:F679)</f>
        <v>D02</v>
      </c>
    </row>
    <row r="181" spans="1:6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  <c r="F181" s="1" t="str">
        <f>_xlfn.XLOOKUP(A181,Employees!A180:A680,Employees!F180:F680)</f>
        <v>D04</v>
      </c>
    </row>
    <row r="182" spans="1:6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  <c r="F182" s="1" t="str">
        <f>_xlfn.XLOOKUP(A182,Employees!A181:A681,Employees!F181:F681)</f>
        <v>D04</v>
      </c>
    </row>
    <row r="183" spans="1:6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  <c r="F183" s="1" t="str">
        <f>_xlfn.XLOOKUP(A183,Employees!A182:A682,Employees!F182:F682)</f>
        <v>D02</v>
      </c>
    </row>
    <row r="184" spans="1:6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  <c r="F184" s="1" t="str">
        <f>_xlfn.XLOOKUP(A184,Employees!A183:A683,Employees!F183:F683)</f>
        <v>D04</v>
      </c>
    </row>
    <row r="185" spans="1:6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  <c r="F185" s="1" t="str">
        <f>_xlfn.XLOOKUP(A185,Employees!A184:A684,Employees!F184:F684)</f>
        <v>D03</v>
      </c>
    </row>
    <row r="186" spans="1:6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  <c r="F186" s="1" t="str">
        <f>_xlfn.XLOOKUP(A186,Employees!A185:A685,Employees!F185:F685)</f>
        <v>D05</v>
      </c>
    </row>
    <row r="187" spans="1:6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  <c r="F187" s="1" t="str">
        <f>_xlfn.XLOOKUP(A187,Employees!A186:A686,Employees!F186:F686)</f>
        <v>D04</v>
      </c>
    </row>
    <row r="188" spans="1:6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  <c r="F188" s="1" t="str">
        <f>_xlfn.XLOOKUP(A188,Employees!A187:A687,Employees!F187:F687)</f>
        <v>D03</v>
      </c>
    </row>
    <row r="189" spans="1:6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  <c r="F189" s="1" t="str">
        <f>_xlfn.XLOOKUP(A189,Employees!A188:A688,Employees!F188:F688)</f>
        <v>D05</v>
      </c>
    </row>
    <row r="190" spans="1:6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  <c r="F190" s="1" t="str">
        <f>_xlfn.XLOOKUP(A190,Employees!A189:A689,Employees!F189:F689)</f>
        <v>D05</v>
      </c>
    </row>
    <row r="191" spans="1:6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  <c r="F191" s="1" t="str">
        <f>_xlfn.XLOOKUP(A191,Employees!A190:A690,Employees!F190:F690)</f>
        <v>D04</v>
      </c>
    </row>
    <row r="192" spans="1:6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  <c r="F192" s="1" t="str">
        <f>_xlfn.XLOOKUP(A192,Employees!A191:A691,Employees!F191:F691)</f>
        <v>D04</v>
      </c>
    </row>
    <row r="193" spans="1:6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  <c r="F193" s="1" t="str">
        <f>_xlfn.XLOOKUP(A193,Employees!A192:A692,Employees!F192:F692)</f>
        <v>D01</v>
      </c>
    </row>
    <row r="194" spans="1:6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  <c r="F194" s="1" t="str">
        <f>_xlfn.XLOOKUP(A194,Employees!A193:A693,Employees!F193:F693)</f>
        <v>D02</v>
      </c>
    </row>
    <row r="195" spans="1:6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  <c r="F195" s="1" t="str">
        <f>_xlfn.XLOOKUP(A195,Employees!A194:A694,Employees!F194:F694)</f>
        <v>D04</v>
      </c>
    </row>
    <row r="196" spans="1:6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  <c r="F196" s="1" t="str">
        <f>_xlfn.XLOOKUP(A196,Employees!A195:A695,Employees!F195:F695)</f>
        <v>D03</v>
      </c>
    </row>
    <row r="197" spans="1:6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  <c r="F197" s="1" t="str">
        <f>_xlfn.XLOOKUP(A197,Employees!A196:A696,Employees!F196:F696)</f>
        <v>D05</v>
      </c>
    </row>
    <row r="198" spans="1:6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  <c r="F198" s="1" t="str">
        <f>_xlfn.XLOOKUP(A198,Employees!A197:A697,Employees!F197:F697)</f>
        <v>D05</v>
      </c>
    </row>
    <row r="199" spans="1:6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  <c r="F199" s="1" t="str">
        <f>_xlfn.XLOOKUP(A199,Employees!A198:A698,Employees!F198:F698)</f>
        <v>D01</v>
      </c>
    </row>
    <row r="200" spans="1:6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  <c r="F200" s="1" t="str">
        <f>_xlfn.XLOOKUP(A200,Employees!A199:A699,Employees!F199:F699)</f>
        <v>D04</v>
      </c>
    </row>
    <row r="201" spans="1:6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  <c r="F201" s="1" t="str">
        <f>_xlfn.XLOOKUP(A201,Employees!A200:A700,Employees!F200:F700)</f>
        <v>D02</v>
      </c>
    </row>
    <row r="202" spans="1:6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  <c r="F202" s="1" t="str">
        <f>_xlfn.XLOOKUP(A202,Employees!A201:A701,Employees!F201:F701)</f>
        <v>D01</v>
      </c>
    </row>
    <row r="203" spans="1:6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  <c r="F203" s="1" t="str">
        <f>_xlfn.XLOOKUP(A203,Employees!A202:A702,Employees!F202:F702)</f>
        <v>D03</v>
      </c>
    </row>
    <row r="204" spans="1:6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  <c r="F204" s="1" t="str">
        <f>_xlfn.XLOOKUP(A204,Employees!A203:A703,Employees!F203:F703)</f>
        <v>D03</v>
      </c>
    </row>
    <row r="205" spans="1:6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  <c r="F205" s="1" t="str">
        <f>_xlfn.XLOOKUP(A205,Employees!A204:A704,Employees!F204:F704)</f>
        <v>D01</v>
      </c>
    </row>
    <row r="206" spans="1:6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  <c r="F206" s="1" t="str">
        <f>_xlfn.XLOOKUP(A206,Employees!A205:A705,Employees!F205:F705)</f>
        <v>D01</v>
      </c>
    </row>
    <row r="207" spans="1:6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  <c r="F207" s="1" t="str">
        <f>_xlfn.XLOOKUP(A207,Employees!A206:A706,Employees!F206:F706)</f>
        <v>D01</v>
      </c>
    </row>
    <row r="208" spans="1:6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  <c r="F208" s="1" t="str">
        <f>_xlfn.XLOOKUP(A208,Employees!A207:A707,Employees!F207:F707)</f>
        <v>D04</v>
      </c>
    </row>
    <row r="209" spans="1:6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  <c r="F209" s="1" t="str">
        <f>_xlfn.XLOOKUP(A209,Employees!A208:A708,Employees!F208:F708)</f>
        <v>D05</v>
      </c>
    </row>
    <row r="210" spans="1:6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  <c r="F210" s="1" t="str">
        <f>_xlfn.XLOOKUP(A210,Employees!A209:A709,Employees!F209:F709)</f>
        <v>D01</v>
      </c>
    </row>
    <row r="211" spans="1:6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  <c r="F211" s="1" t="str">
        <f>_xlfn.XLOOKUP(A211,Employees!A210:A710,Employees!F210:F710)</f>
        <v>D01</v>
      </c>
    </row>
    <row r="212" spans="1:6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  <c r="F212" s="1" t="str">
        <f>_xlfn.XLOOKUP(A212,Employees!A211:A711,Employees!F211:F711)</f>
        <v>D04</v>
      </c>
    </row>
    <row r="213" spans="1:6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  <c r="F213" s="1" t="str">
        <f>_xlfn.XLOOKUP(A213,Employees!A212:A712,Employees!F212:F712)</f>
        <v>D04</v>
      </c>
    </row>
    <row r="214" spans="1:6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  <c r="F214" s="1" t="str">
        <f>_xlfn.XLOOKUP(A214,Employees!A213:A713,Employees!F213:F713)</f>
        <v>D01</v>
      </c>
    </row>
    <row r="215" spans="1:6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  <c r="F215" s="1" t="str">
        <f>_xlfn.XLOOKUP(A215,Employees!A214:A714,Employees!F214:F714)</f>
        <v>D03</v>
      </c>
    </row>
    <row r="216" spans="1:6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  <c r="F216" s="1" t="str">
        <f>_xlfn.XLOOKUP(A216,Employees!A215:A715,Employees!F215:F715)</f>
        <v>D03</v>
      </c>
    </row>
    <row r="217" spans="1:6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  <c r="F217" s="1" t="str">
        <f>_xlfn.XLOOKUP(A217,Employees!A216:A716,Employees!F216:F716)</f>
        <v>D02</v>
      </c>
    </row>
    <row r="218" spans="1:6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  <c r="F218" s="1" t="str">
        <f>_xlfn.XLOOKUP(A218,Employees!A217:A717,Employees!F217:F717)</f>
        <v>D04</v>
      </c>
    </row>
    <row r="219" spans="1:6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  <c r="F219" s="1" t="str">
        <f>_xlfn.XLOOKUP(A219,Employees!A218:A718,Employees!F218:F718)</f>
        <v>D04</v>
      </c>
    </row>
    <row r="220" spans="1:6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  <c r="F220" s="1" t="str">
        <f>_xlfn.XLOOKUP(A220,Employees!A219:A719,Employees!F219:F719)</f>
        <v>D05</v>
      </c>
    </row>
    <row r="221" spans="1:6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  <c r="F221" s="1" t="str">
        <f>_xlfn.XLOOKUP(A221,Employees!A220:A720,Employees!F220:F720)</f>
        <v>D02</v>
      </c>
    </row>
    <row r="222" spans="1:6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  <c r="F222" s="1" t="str">
        <f>_xlfn.XLOOKUP(A222,Employees!A221:A721,Employees!F221:F721)</f>
        <v>D05</v>
      </c>
    </row>
    <row r="223" spans="1:6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  <c r="F223" s="1" t="str">
        <f>_xlfn.XLOOKUP(A223,Employees!A222:A722,Employees!F222:F722)</f>
        <v>D02</v>
      </c>
    </row>
    <row r="224" spans="1:6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  <c r="F224" s="1" t="str">
        <f>_xlfn.XLOOKUP(A224,Employees!A223:A723,Employees!F223:F723)</f>
        <v>D02</v>
      </c>
    </row>
    <row r="225" spans="1:6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  <c r="F225" s="1" t="str">
        <f>_xlfn.XLOOKUP(A225,Employees!A224:A724,Employees!F224:F724)</f>
        <v>D05</v>
      </c>
    </row>
    <row r="226" spans="1:6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  <c r="F226" s="1" t="str">
        <f>_xlfn.XLOOKUP(A226,Employees!A225:A725,Employees!F225:F725)</f>
        <v>D04</v>
      </c>
    </row>
    <row r="227" spans="1:6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  <c r="F227" s="1" t="str">
        <f>_xlfn.XLOOKUP(A227,Employees!A226:A726,Employees!F226:F726)</f>
        <v>D03</v>
      </c>
    </row>
    <row r="228" spans="1:6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  <c r="F228" s="1" t="str">
        <f>_xlfn.XLOOKUP(A228,Employees!A227:A727,Employees!F227:F727)</f>
        <v>D05</v>
      </c>
    </row>
    <row r="229" spans="1:6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  <c r="F229" s="1" t="str">
        <f>_xlfn.XLOOKUP(A229,Employees!A228:A728,Employees!F228:F728)</f>
        <v>D04</v>
      </c>
    </row>
    <row r="230" spans="1:6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  <c r="F230" s="1" t="str">
        <f>_xlfn.XLOOKUP(A230,Employees!A229:A729,Employees!F229:F729)</f>
        <v>D01</v>
      </c>
    </row>
    <row r="231" spans="1:6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  <c r="F231" s="1" t="str">
        <f>_xlfn.XLOOKUP(A231,Employees!A230:A730,Employees!F230:F730)</f>
        <v>D01</v>
      </c>
    </row>
    <row r="232" spans="1:6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  <c r="F232" s="1" t="str">
        <f>_xlfn.XLOOKUP(A232,Employees!A231:A731,Employees!F231:F731)</f>
        <v>D03</v>
      </c>
    </row>
    <row r="233" spans="1:6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  <c r="F233" s="1" t="str">
        <f>_xlfn.XLOOKUP(A233,Employees!A232:A732,Employees!F232:F732)</f>
        <v>D02</v>
      </c>
    </row>
    <row r="234" spans="1:6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  <c r="F234" s="1" t="str">
        <f>_xlfn.XLOOKUP(A234,Employees!A233:A733,Employees!F233:F733)</f>
        <v>D02</v>
      </c>
    </row>
    <row r="235" spans="1:6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  <c r="F235" s="1" t="str">
        <f>_xlfn.XLOOKUP(A235,Employees!A234:A734,Employees!F234:F734)</f>
        <v>D02</v>
      </c>
    </row>
    <row r="236" spans="1:6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  <c r="F236" s="1" t="str">
        <f>_xlfn.XLOOKUP(A236,Employees!A235:A735,Employees!F235:F735)</f>
        <v>D03</v>
      </c>
    </row>
    <row r="237" spans="1:6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  <c r="F237" s="1" t="str">
        <f>_xlfn.XLOOKUP(A237,Employees!A236:A736,Employees!F236:F736)</f>
        <v>D04</v>
      </c>
    </row>
    <row r="238" spans="1:6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  <c r="F238" s="1" t="str">
        <f>_xlfn.XLOOKUP(A238,Employees!A237:A737,Employees!F237:F737)</f>
        <v>D03</v>
      </c>
    </row>
    <row r="239" spans="1:6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  <c r="F239" s="1" t="str">
        <f>_xlfn.XLOOKUP(A239,Employees!A238:A738,Employees!F238:F738)</f>
        <v>D04</v>
      </c>
    </row>
    <row r="240" spans="1:6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  <c r="F240" s="1" t="str">
        <f>_xlfn.XLOOKUP(A240,Employees!A239:A739,Employees!F239:F739)</f>
        <v>D02</v>
      </c>
    </row>
    <row r="241" spans="1:6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  <c r="F241" s="1" t="str">
        <f>_xlfn.XLOOKUP(A241,Employees!A240:A740,Employees!F240:F740)</f>
        <v>D02</v>
      </c>
    </row>
    <row r="242" spans="1:6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  <c r="F242" s="1" t="str">
        <f>_xlfn.XLOOKUP(A242,Employees!A241:A741,Employees!F241:F741)</f>
        <v>D04</v>
      </c>
    </row>
    <row r="243" spans="1:6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  <c r="F243" s="1" t="str">
        <f>_xlfn.XLOOKUP(A243,Employees!A242:A742,Employees!F242:F742)</f>
        <v>D03</v>
      </c>
    </row>
    <row r="244" spans="1:6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  <c r="F244" s="1" t="str">
        <f>_xlfn.XLOOKUP(A244,Employees!A243:A743,Employees!F243:F743)</f>
        <v>D01</v>
      </c>
    </row>
    <row r="245" spans="1:6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  <c r="F245" s="1" t="str">
        <f>_xlfn.XLOOKUP(A245,Employees!A244:A744,Employees!F244:F744)</f>
        <v>D05</v>
      </c>
    </row>
    <row r="246" spans="1:6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  <c r="F246" s="1" t="str">
        <f>_xlfn.XLOOKUP(A246,Employees!A245:A745,Employees!F245:F745)</f>
        <v>D05</v>
      </c>
    </row>
    <row r="247" spans="1:6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  <c r="F247" s="1" t="str">
        <f>_xlfn.XLOOKUP(A247,Employees!A246:A746,Employees!F246:F746)</f>
        <v>D02</v>
      </c>
    </row>
    <row r="248" spans="1:6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  <c r="F248" s="1" t="str">
        <f>_xlfn.XLOOKUP(A248,Employees!A247:A747,Employees!F247:F747)</f>
        <v>D03</v>
      </c>
    </row>
    <row r="249" spans="1:6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  <c r="F249" s="1" t="str">
        <f>_xlfn.XLOOKUP(A249,Employees!A248:A748,Employees!F248:F748)</f>
        <v>D01</v>
      </c>
    </row>
    <row r="250" spans="1:6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  <c r="F250" s="1" t="str">
        <f>_xlfn.XLOOKUP(A250,Employees!A249:A749,Employees!F249:F749)</f>
        <v>D01</v>
      </c>
    </row>
    <row r="251" spans="1:6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  <c r="F251" s="1" t="str">
        <f>_xlfn.XLOOKUP(A251,Employees!A250:A750,Employees!F250:F750)</f>
        <v>D01</v>
      </c>
    </row>
    <row r="252" spans="1:6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  <c r="F252" s="1" t="str">
        <f>_xlfn.XLOOKUP(A252,Employees!A251:A751,Employees!F251:F751)</f>
        <v>D03</v>
      </c>
    </row>
    <row r="253" spans="1:6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  <c r="F253" s="1" t="str">
        <f>_xlfn.XLOOKUP(A253,Employees!A252:A752,Employees!F252:F752)</f>
        <v>D04</v>
      </c>
    </row>
    <row r="254" spans="1:6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  <c r="F254" s="1" t="str">
        <f>_xlfn.XLOOKUP(A254,Employees!A253:A753,Employees!F253:F753)</f>
        <v>D05</v>
      </c>
    </row>
    <row r="255" spans="1:6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  <c r="F255" s="1" t="str">
        <f>_xlfn.XLOOKUP(A255,Employees!A254:A754,Employees!F254:F754)</f>
        <v>D03</v>
      </c>
    </row>
    <row r="256" spans="1:6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  <c r="F256" s="1" t="str">
        <f>_xlfn.XLOOKUP(A256,Employees!A255:A755,Employees!F255:F755)</f>
        <v>D02</v>
      </c>
    </row>
    <row r="257" spans="1:6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  <c r="F257" s="1" t="str">
        <f>_xlfn.XLOOKUP(A257,Employees!A256:A756,Employees!F256:F756)</f>
        <v>D05</v>
      </c>
    </row>
    <row r="258" spans="1:6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  <c r="F258" s="1" t="str">
        <f>_xlfn.XLOOKUP(A258,Employees!A257:A757,Employees!F257:F757)</f>
        <v>D05</v>
      </c>
    </row>
    <row r="259" spans="1:6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  <c r="F259" s="1" t="str">
        <f>_xlfn.XLOOKUP(A259,Employees!A258:A758,Employees!F258:F758)</f>
        <v>D02</v>
      </c>
    </row>
    <row r="260" spans="1:6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  <c r="F260" s="1" t="str">
        <f>_xlfn.XLOOKUP(A260,Employees!A259:A759,Employees!F259:F759)</f>
        <v>D01</v>
      </c>
    </row>
    <row r="261" spans="1:6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  <c r="F261" s="1" t="str">
        <f>_xlfn.XLOOKUP(A261,Employees!A260:A760,Employees!F260:F760)</f>
        <v>D01</v>
      </c>
    </row>
    <row r="262" spans="1:6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  <c r="F262" s="1" t="str">
        <f>_xlfn.XLOOKUP(A262,Employees!A261:A761,Employees!F261:F761)</f>
        <v>D03</v>
      </c>
    </row>
    <row r="263" spans="1:6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  <c r="F263" s="1" t="str">
        <f>_xlfn.XLOOKUP(A263,Employees!A262:A762,Employees!F262:F762)</f>
        <v>D01</v>
      </c>
    </row>
    <row r="264" spans="1:6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  <c r="F264" s="1" t="str">
        <f>_xlfn.XLOOKUP(A264,Employees!A263:A763,Employees!F263:F763)</f>
        <v>D01</v>
      </c>
    </row>
    <row r="265" spans="1:6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  <c r="F265" s="1" t="str">
        <f>_xlfn.XLOOKUP(A265,Employees!A264:A764,Employees!F264:F764)</f>
        <v>D03</v>
      </c>
    </row>
    <row r="266" spans="1:6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  <c r="F266" s="1" t="str">
        <f>_xlfn.XLOOKUP(A266,Employees!A265:A765,Employees!F265:F765)</f>
        <v>D01</v>
      </c>
    </row>
    <row r="267" spans="1:6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  <c r="F267" s="1" t="str">
        <f>_xlfn.XLOOKUP(A267,Employees!A266:A766,Employees!F266:F766)</f>
        <v>D03</v>
      </c>
    </row>
    <row r="268" spans="1:6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  <c r="F268" s="1" t="str">
        <f>_xlfn.XLOOKUP(A268,Employees!A267:A767,Employees!F267:F767)</f>
        <v>D04</v>
      </c>
    </row>
    <row r="269" spans="1:6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  <c r="F269" s="1" t="str">
        <f>_xlfn.XLOOKUP(A269,Employees!A268:A768,Employees!F268:F768)</f>
        <v>D04</v>
      </c>
    </row>
    <row r="270" spans="1:6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  <c r="F270" s="1" t="str">
        <f>_xlfn.XLOOKUP(A270,Employees!A269:A769,Employees!F269:F769)</f>
        <v>D02</v>
      </c>
    </row>
    <row r="271" spans="1:6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  <c r="F271" s="1" t="str">
        <f>_xlfn.XLOOKUP(A271,Employees!A270:A770,Employees!F270:F770)</f>
        <v>D01</v>
      </c>
    </row>
    <row r="272" spans="1:6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  <c r="F272" s="1" t="str">
        <f>_xlfn.XLOOKUP(A272,Employees!A271:A771,Employees!F271:F771)</f>
        <v>D01</v>
      </c>
    </row>
    <row r="273" spans="1:6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  <c r="F273" s="1" t="str">
        <f>_xlfn.XLOOKUP(A273,Employees!A272:A772,Employees!F272:F772)</f>
        <v>D04</v>
      </c>
    </row>
    <row r="274" spans="1:6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  <c r="F274" s="1" t="str">
        <f>_xlfn.XLOOKUP(A274,Employees!A273:A773,Employees!F273:F773)</f>
        <v>D01</v>
      </c>
    </row>
    <row r="275" spans="1:6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  <c r="F275" s="1" t="str">
        <f>_xlfn.XLOOKUP(A275,Employees!A274:A774,Employees!F274:F774)</f>
        <v>D02</v>
      </c>
    </row>
    <row r="276" spans="1:6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  <c r="F276" s="1" t="str">
        <f>_xlfn.XLOOKUP(A276,Employees!A275:A775,Employees!F275:F775)</f>
        <v>D04</v>
      </c>
    </row>
    <row r="277" spans="1:6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  <c r="F277" s="1" t="str">
        <f>_xlfn.XLOOKUP(A277,Employees!A276:A776,Employees!F276:F776)</f>
        <v>D04</v>
      </c>
    </row>
    <row r="278" spans="1:6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  <c r="F278" s="1" t="str">
        <f>_xlfn.XLOOKUP(A278,Employees!A277:A777,Employees!F277:F777)</f>
        <v>D04</v>
      </c>
    </row>
    <row r="279" spans="1:6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  <c r="F279" s="1" t="str">
        <f>_xlfn.XLOOKUP(A279,Employees!A278:A778,Employees!F278:F778)</f>
        <v>D01</v>
      </c>
    </row>
    <row r="280" spans="1:6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  <c r="F280" s="1" t="str">
        <f>_xlfn.XLOOKUP(A280,Employees!A279:A779,Employees!F279:F779)</f>
        <v>D01</v>
      </c>
    </row>
    <row r="281" spans="1:6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  <c r="F281" s="1" t="str">
        <f>_xlfn.XLOOKUP(A281,Employees!A280:A780,Employees!F280:F780)</f>
        <v>D03</v>
      </c>
    </row>
    <row r="282" spans="1:6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  <c r="F282" s="1" t="str">
        <f>_xlfn.XLOOKUP(A282,Employees!A281:A781,Employees!F281:F781)</f>
        <v>D05</v>
      </c>
    </row>
    <row r="283" spans="1:6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  <c r="F283" s="1" t="str">
        <f>_xlfn.XLOOKUP(A283,Employees!A282:A782,Employees!F282:F782)</f>
        <v>D04</v>
      </c>
    </row>
    <row r="284" spans="1:6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  <c r="F284" s="1" t="str">
        <f>_xlfn.XLOOKUP(A284,Employees!A283:A783,Employees!F283:F783)</f>
        <v>D02</v>
      </c>
    </row>
    <row r="285" spans="1:6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  <c r="F285" s="1" t="str">
        <f>_xlfn.XLOOKUP(A285,Employees!A284:A784,Employees!F284:F784)</f>
        <v>D05</v>
      </c>
    </row>
    <row r="286" spans="1:6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  <c r="F286" s="1" t="str">
        <f>_xlfn.XLOOKUP(A286,Employees!A285:A785,Employees!F285:F785)</f>
        <v>D05</v>
      </c>
    </row>
    <row r="287" spans="1:6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  <c r="F287" s="1" t="str">
        <f>_xlfn.XLOOKUP(A287,Employees!A286:A786,Employees!F286:F786)</f>
        <v>D04</v>
      </c>
    </row>
    <row r="288" spans="1:6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  <c r="F288" s="1" t="str">
        <f>_xlfn.XLOOKUP(A288,Employees!A287:A787,Employees!F287:F787)</f>
        <v>D04</v>
      </c>
    </row>
    <row r="289" spans="1:6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  <c r="F289" s="1" t="str">
        <f>_xlfn.XLOOKUP(A289,Employees!A288:A788,Employees!F288:F788)</f>
        <v>D04</v>
      </c>
    </row>
    <row r="290" spans="1:6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  <c r="F290" s="1" t="str">
        <f>_xlfn.XLOOKUP(A290,Employees!A289:A789,Employees!F289:F789)</f>
        <v>D04</v>
      </c>
    </row>
    <row r="291" spans="1:6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  <c r="F291" s="1" t="str">
        <f>_xlfn.XLOOKUP(A291,Employees!A290:A790,Employees!F290:F790)</f>
        <v>D05</v>
      </c>
    </row>
    <row r="292" spans="1:6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  <c r="F292" s="1" t="str">
        <f>_xlfn.XLOOKUP(A292,Employees!A291:A791,Employees!F291:F791)</f>
        <v>D04</v>
      </c>
    </row>
    <row r="293" spans="1:6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  <c r="F293" s="1" t="str">
        <f>_xlfn.XLOOKUP(A293,Employees!A292:A792,Employees!F292:F792)</f>
        <v>D05</v>
      </c>
    </row>
    <row r="294" spans="1:6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  <c r="F294" s="1" t="str">
        <f>_xlfn.XLOOKUP(A294,Employees!A293:A793,Employees!F293:F793)</f>
        <v>D04</v>
      </c>
    </row>
    <row r="295" spans="1:6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  <c r="F295" s="1" t="str">
        <f>_xlfn.XLOOKUP(A295,Employees!A294:A794,Employees!F294:F794)</f>
        <v>D03</v>
      </c>
    </row>
    <row r="296" spans="1:6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  <c r="F296" s="1" t="str">
        <f>_xlfn.XLOOKUP(A296,Employees!A295:A795,Employees!F295:F795)</f>
        <v>D01</v>
      </c>
    </row>
    <row r="297" spans="1:6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  <c r="F297" s="1" t="str">
        <f>_xlfn.XLOOKUP(A297,Employees!A296:A796,Employees!F296:F796)</f>
        <v>D03</v>
      </c>
    </row>
    <row r="298" spans="1:6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  <c r="F298" s="1" t="str">
        <f>_xlfn.XLOOKUP(A298,Employees!A297:A797,Employees!F297:F797)</f>
        <v>D04</v>
      </c>
    </row>
    <row r="299" spans="1:6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  <c r="F299" s="1" t="str">
        <f>_xlfn.XLOOKUP(A299,Employees!A298:A798,Employees!F298:F798)</f>
        <v>D01</v>
      </c>
    </row>
    <row r="300" spans="1:6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  <c r="F300" s="1" t="str">
        <f>_xlfn.XLOOKUP(A300,Employees!A299:A799,Employees!F299:F799)</f>
        <v>D02</v>
      </c>
    </row>
    <row r="301" spans="1:6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  <c r="F301" s="1" t="str">
        <f>_xlfn.XLOOKUP(A301,Employees!A300:A800,Employees!F300:F800)</f>
        <v>D01</v>
      </c>
    </row>
    <row r="302" spans="1:6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  <c r="F302" s="1" t="str">
        <f>_xlfn.XLOOKUP(A302,Employees!A301:A801,Employees!F301:F801)</f>
        <v>D04</v>
      </c>
    </row>
    <row r="303" spans="1:6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  <c r="F303" s="1" t="str">
        <f>_xlfn.XLOOKUP(A303,Employees!A302:A802,Employees!F302:F802)</f>
        <v>D05</v>
      </c>
    </row>
    <row r="304" spans="1:6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  <c r="F304" s="1" t="str">
        <f>_xlfn.XLOOKUP(A304,Employees!A303:A803,Employees!F303:F803)</f>
        <v>D02</v>
      </c>
    </row>
    <row r="305" spans="1:6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  <c r="F305" s="1" t="str">
        <f>_xlfn.XLOOKUP(A305,Employees!A304:A804,Employees!F304:F804)</f>
        <v>D03</v>
      </c>
    </row>
    <row r="306" spans="1:6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  <c r="F306" s="1" t="str">
        <f>_xlfn.XLOOKUP(A306,Employees!A305:A805,Employees!F305:F805)</f>
        <v>D01</v>
      </c>
    </row>
    <row r="307" spans="1:6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  <c r="F307" s="1" t="str">
        <f>_xlfn.XLOOKUP(A307,Employees!A306:A806,Employees!F306:F806)</f>
        <v>D01</v>
      </c>
    </row>
    <row r="308" spans="1:6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  <c r="F308" s="1" t="str">
        <f>_xlfn.XLOOKUP(A308,Employees!A307:A807,Employees!F307:F807)</f>
        <v>D02</v>
      </c>
    </row>
    <row r="309" spans="1:6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  <c r="F309" s="1" t="str">
        <f>_xlfn.XLOOKUP(A309,Employees!A308:A808,Employees!F308:F808)</f>
        <v>D02</v>
      </c>
    </row>
    <row r="310" spans="1:6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  <c r="F310" s="1" t="str">
        <f>_xlfn.XLOOKUP(A310,Employees!A309:A809,Employees!F309:F809)</f>
        <v>D02</v>
      </c>
    </row>
    <row r="311" spans="1:6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  <c r="F311" s="1" t="str">
        <f>_xlfn.XLOOKUP(A311,Employees!A310:A810,Employees!F310:F810)</f>
        <v>D05</v>
      </c>
    </row>
    <row r="312" spans="1:6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  <c r="F312" s="1" t="str">
        <f>_xlfn.XLOOKUP(A312,Employees!A311:A811,Employees!F311:F811)</f>
        <v>D02</v>
      </c>
    </row>
    <row r="313" spans="1:6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  <c r="F313" s="1" t="str">
        <f>_xlfn.XLOOKUP(A313,Employees!A312:A812,Employees!F312:F812)</f>
        <v>D04</v>
      </c>
    </row>
    <row r="314" spans="1:6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  <c r="F314" s="1" t="str">
        <f>_xlfn.XLOOKUP(A314,Employees!A313:A813,Employees!F313:F813)</f>
        <v>D05</v>
      </c>
    </row>
    <row r="315" spans="1:6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  <c r="F315" s="1" t="str">
        <f>_xlfn.XLOOKUP(A315,Employees!A314:A814,Employees!F314:F814)</f>
        <v>D02</v>
      </c>
    </row>
    <row r="316" spans="1:6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  <c r="F316" s="1" t="str">
        <f>_xlfn.XLOOKUP(A316,Employees!A315:A815,Employees!F315:F815)</f>
        <v>D02</v>
      </c>
    </row>
    <row r="317" spans="1:6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  <c r="F317" s="1" t="str">
        <f>_xlfn.XLOOKUP(A317,Employees!A316:A816,Employees!F316:F816)</f>
        <v>D05</v>
      </c>
    </row>
    <row r="318" spans="1:6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  <c r="F318" s="1" t="str">
        <f>_xlfn.XLOOKUP(A318,Employees!A317:A817,Employees!F317:F817)</f>
        <v>D04</v>
      </c>
    </row>
    <row r="319" spans="1:6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  <c r="F319" s="1" t="str">
        <f>_xlfn.XLOOKUP(A319,Employees!A318:A818,Employees!F318:F818)</f>
        <v>D04</v>
      </c>
    </row>
    <row r="320" spans="1:6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  <c r="F320" s="1" t="str">
        <f>_xlfn.XLOOKUP(A320,Employees!A319:A819,Employees!F319:F819)</f>
        <v>D04</v>
      </c>
    </row>
    <row r="321" spans="1:6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  <c r="F321" s="1" t="str">
        <f>_xlfn.XLOOKUP(A321,Employees!A320:A820,Employees!F320:F820)</f>
        <v>D01</v>
      </c>
    </row>
    <row r="322" spans="1:6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  <c r="F322" s="1" t="str">
        <f>_xlfn.XLOOKUP(A322,Employees!A321:A821,Employees!F321:F821)</f>
        <v>D04</v>
      </c>
    </row>
    <row r="323" spans="1:6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  <c r="F323" s="1" t="str">
        <f>_xlfn.XLOOKUP(A323,Employees!A322:A822,Employees!F322:F822)</f>
        <v>D05</v>
      </c>
    </row>
    <row r="324" spans="1:6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  <c r="F324" s="1" t="str">
        <f>_xlfn.XLOOKUP(A324,Employees!A323:A823,Employees!F323:F823)</f>
        <v>D05</v>
      </c>
    </row>
    <row r="325" spans="1:6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  <c r="F325" s="1" t="str">
        <f>_xlfn.XLOOKUP(A325,Employees!A324:A824,Employees!F324:F824)</f>
        <v>D05</v>
      </c>
    </row>
    <row r="326" spans="1:6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  <c r="F326" s="1" t="str">
        <f>_xlfn.XLOOKUP(A326,Employees!A325:A825,Employees!F325:F825)</f>
        <v>D05</v>
      </c>
    </row>
    <row r="327" spans="1:6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  <c r="F327" s="1" t="str">
        <f>_xlfn.XLOOKUP(A327,Employees!A326:A826,Employees!F326:F826)</f>
        <v>D05</v>
      </c>
    </row>
    <row r="328" spans="1:6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  <c r="F328" s="1" t="str">
        <f>_xlfn.XLOOKUP(A328,Employees!A327:A827,Employees!F327:F827)</f>
        <v>D03</v>
      </c>
    </row>
    <row r="329" spans="1:6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  <c r="F329" s="1" t="str">
        <f>_xlfn.XLOOKUP(A329,Employees!A328:A828,Employees!F328:F828)</f>
        <v>D01</v>
      </c>
    </row>
    <row r="330" spans="1:6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  <c r="F330" s="1" t="str">
        <f>_xlfn.XLOOKUP(A330,Employees!A329:A829,Employees!F329:F829)</f>
        <v>D05</v>
      </c>
    </row>
    <row r="331" spans="1:6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  <c r="F331" s="1" t="str">
        <f>_xlfn.XLOOKUP(A331,Employees!A330:A830,Employees!F330:F830)</f>
        <v>D02</v>
      </c>
    </row>
    <row r="332" spans="1:6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  <c r="F332" s="1" t="str">
        <f>_xlfn.XLOOKUP(A332,Employees!A331:A831,Employees!F331:F831)</f>
        <v>D01</v>
      </c>
    </row>
    <row r="333" spans="1:6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  <c r="F333" s="1" t="str">
        <f>_xlfn.XLOOKUP(A333,Employees!A332:A832,Employees!F332:F832)</f>
        <v>D01</v>
      </c>
    </row>
    <row r="334" spans="1:6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  <c r="F334" s="1" t="str">
        <f>_xlfn.XLOOKUP(A334,Employees!A333:A833,Employees!F333:F833)</f>
        <v>D04</v>
      </c>
    </row>
    <row r="335" spans="1:6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  <c r="F335" s="1" t="str">
        <f>_xlfn.XLOOKUP(A335,Employees!A334:A834,Employees!F334:F834)</f>
        <v>D02</v>
      </c>
    </row>
    <row r="336" spans="1:6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  <c r="F336" s="1" t="str">
        <f>_xlfn.XLOOKUP(A336,Employees!A335:A835,Employees!F335:F835)</f>
        <v>D01</v>
      </c>
    </row>
    <row r="337" spans="1:6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  <c r="F337" s="1" t="str">
        <f>_xlfn.XLOOKUP(A337,Employees!A336:A836,Employees!F336:F836)</f>
        <v>D05</v>
      </c>
    </row>
    <row r="338" spans="1:6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  <c r="F338" s="1" t="str">
        <f>_xlfn.XLOOKUP(A338,Employees!A337:A837,Employees!F337:F837)</f>
        <v>D04</v>
      </c>
    </row>
    <row r="339" spans="1:6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  <c r="F339" s="1" t="str">
        <f>_xlfn.XLOOKUP(A339,Employees!A338:A838,Employees!F338:F838)</f>
        <v>D03</v>
      </c>
    </row>
    <row r="340" spans="1:6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  <c r="F340" s="1" t="str">
        <f>_xlfn.XLOOKUP(A340,Employees!A339:A839,Employees!F339:F839)</f>
        <v>D02</v>
      </c>
    </row>
    <row r="341" spans="1:6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  <c r="F341" s="1" t="str">
        <f>_xlfn.XLOOKUP(A341,Employees!A340:A840,Employees!F340:F840)</f>
        <v>D03</v>
      </c>
    </row>
    <row r="342" spans="1:6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  <c r="F342" s="1" t="str">
        <f>_xlfn.XLOOKUP(A342,Employees!A341:A841,Employees!F341:F841)</f>
        <v>D04</v>
      </c>
    </row>
    <row r="343" spans="1:6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  <c r="F343" s="1" t="str">
        <f>_xlfn.XLOOKUP(A343,Employees!A342:A842,Employees!F342:F842)</f>
        <v>D01</v>
      </c>
    </row>
    <row r="344" spans="1:6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  <c r="F344" s="1" t="str">
        <f>_xlfn.XLOOKUP(A344,Employees!A343:A843,Employees!F343:F843)</f>
        <v>D03</v>
      </c>
    </row>
    <row r="345" spans="1:6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  <c r="F345" s="1" t="str">
        <f>_xlfn.XLOOKUP(A345,Employees!A344:A844,Employees!F344:F844)</f>
        <v>D01</v>
      </c>
    </row>
    <row r="346" spans="1:6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  <c r="F346" s="1" t="str">
        <f>_xlfn.XLOOKUP(A346,Employees!A345:A845,Employees!F345:F845)</f>
        <v>D02</v>
      </c>
    </row>
    <row r="347" spans="1:6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  <c r="F347" s="1" t="str">
        <f>_xlfn.XLOOKUP(A347,Employees!A346:A846,Employees!F346:F846)</f>
        <v>D02</v>
      </c>
    </row>
    <row r="348" spans="1:6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  <c r="F348" s="1" t="str">
        <f>_xlfn.XLOOKUP(A348,Employees!A347:A847,Employees!F347:F847)</f>
        <v>D05</v>
      </c>
    </row>
    <row r="349" spans="1:6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  <c r="F349" s="1" t="str">
        <f>_xlfn.XLOOKUP(A349,Employees!A348:A848,Employees!F348:F848)</f>
        <v>D04</v>
      </c>
    </row>
    <row r="350" spans="1:6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  <c r="F350" s="1" t="str">
        <f>_xlfn.XLOOKUP(A350,Employees!A349:A849,Employees!F349:F849)</f>
        <v>D05</v>
      </c>
    </row>
    <row r="351" spans="1:6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  <c r="F351" s="1" t="str">
        <f>_xlfn.XLOOKUP(A351,Employees!A350:A850,Employees!F350:F850)</f>
        <v>D04</v>
      </c>
    </row>
    <row r="352" spans="1:6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  <c r="F352" s="1" t="str">
        <f>_xlfn.XLOOKUP(A352,Employees!A351:A851,Employees!F351:F851)</f>
        <v>D01</v>
      </c>
    </row>
    <row r="353" spans="1:6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  <c r="F353" s="1" t="str">
        <f>_xlfn.XLOOKUP(A353,Employees!A352:A852,Employees!F352:F852)</f>
        <v>D04</v>
      </c>
    </row>
    <row r="354" spans="1:6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  <c r="F354" s="1" t="str">
        <f>_xlfn.XLOOKUP(A354,Employees!A353:A853,Employees!F353:F853)</f>
        <v>D01</v>
      </c>
    </row>
    <row r="355" spans="1:6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  <c r="F355" s="1" t="str">
        <f>_xlfn.XLOOKUP(A355,Employees!A354:A854,Employees!F354:F854)</f>
        <v>D03</v>
      </c>
    </row>
    <row r="356" spans="1:6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  <c r="F356" s="1" t="str">
        <f>_xlfn.XLOOKUP(A356,Employees!A355:A855,Employees!F355:F855)</f>
        <v>D04</v>
      </c>
    </row>
    <row r="357" spans="1:6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  <c r="F357" s="1" t="str">
        <f>_xlfn.XLOOKUP(A357,Employees!A356:A856,Employees!F356:F856)</f>
        <v>D05</v>
      </c>
    </row>
    <row r="358" spans="1:6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  <c r="F358" s="1" t="str">
        <f>_xlfn.XLOOKUP(A358,Employees!A357:A857,Employees!F357:F857)</f>
        <v>D02</v>
      </c>
    </row>
    <row r="359" spans="1:6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  <c r="F359" s="1" t="str">
        <f>_xlfn.XLOOKUP(A359,Employees!A358:A858,Employees!F358:F858)</f>
        <v>D04</v>
      </c>
    </row>
    <row r="360" spans="1:6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  <c r="F360" s="1" t="str">
        <f>_xlfn.XLOOKUP(A360,Employees!A359:A859,Employees!F359:F859)</f>
        <v>D03</v>
      </c>
    </row>
    <row r="361" spans="1:6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  <c r="F361" s="1" t="str">
        <f>_xlfn.XLOOKUP(A361,Employees!A360:A860,Employees!F360:F860)</f>
        <v>D02</v>
      </c>
    </row>
    <row r="362" spans="1:6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  <c r="F362" s="1" t="str">
        <f>_xlfn.XLOOKUP(A362,Employees!A361:A861,Employees!F361:F861)</f>
        <v>D05</v>
      </c>
    </row>
    <row r="363" spans="1:6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  <c r="F363" s="1" t="str">
        <f>_xlfn.XLOOKUP(A363,Employees!A362:A862,Employees!F362:F862)</f>
        <v>D01</v>
      </c>
    </row>
    <row r="364" spans="1:6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  <c r="F364" s="1" t="str">
        <f>_xlfn.XLOOKUP(A364,Employees!A363:A863,Employees!F363:F863)</f>
        <v>D04</v>
      </c>
    </row>
    <row r="365" spans="1:6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  <c r="F365" s="1" t="str">
        <f>_xlfn.XLOOKUP(A365,Employees!A364:A864,Employees!F364:F864)</f>
        <v>D02</v>
      </c>
    </row>
    <row r="366" spans="1:6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  <c r="F366" s="1" t="str">
        <f>_xlfn.XLOOKUP(A366,Employees!A365:A865,Employees!F365:F865)</f>
        <v>D02</v>
      </c>
    </row>
    <row r="367" spans="1:6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  <c r="F367" s="1" t="str">
        <f>_xlfn.XLOOKUP(A367,Employees!A366:A866,Employees!F366:F866)</f>
        <v>D05</v>
      </c>
    </row>
    <row r="368" spans="1:6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  <c r="F368" s="1" t="str">
        <f>_xlfn.XLOOKUP(A368,Employees!A367:A867,Employees!F367:F867)</f>
        <v>D03</v>
      </c>
    </row>
    <row r="369" spans="1:6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  <c r="F369" s="1" t="str">
        <f>_xlfn.XLOOKUP(A369,Employees!A368:A868,Employees!F368:F868)</f>
        <v>D01</v>
      </c>
    </row>
    <row r="370" spans="1:6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  <c r="F370" s="1" t="str">
        <f>_xlfn.XLOOKUP(A370,Employees!A369:A869,Employees!F369:F869)</f>
        <v>D02</v>
      </c>
    </row>
    <row r="371" spans="1:6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  <c r="F371" s="1" t="str">
        <f>_xlfn.XLOOKUP(A371,Employees!A370:A870,Employees!F370:F870)</f>
        <v>D02</v>
      </c>
    </row>
    <row r="372" spans="1:6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  <c r="F372" s="1" t="str">
        <f>_xlfn.XLOOKUP(A372,Employees!A371:A871,Employees!F371:F871)</f>
        <v>D04</v>
      </c>
    </row>
    <row r="373" spans="1:6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  <c r="F373" s="1" t="str">
        <f>_xlfn.XLOOKUP(A373,Employees!A372:A872,Employees!F372:F872)</f>
        <v>D04</v>
      </c>
    </row>
    <row r="374" spans="1:6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  <c r="F374" s="1" t="str">
        <f>_xlfn.XLOOKUP(A374,Employees!A373:A873,Employees!F373:F873)</f>
        <v>D05</v>
      </c>
    </row>
    <row r="375" spans="1:6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  <c r="F375" s="1" t="str">
        <f>_xlfn.XLOOKUP(A375,Employees!A374:A874,Employees!F374:F874)</f>
        <v>D03</v>
      </c>
    </row>
    <row r="376" spans="1:6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  <c r="F376" s="1" t="str">
        <f>_xlfn.XLOOKUP(A376,Employees!A375:A875,Employees!F375:F875)</f>
        <v>D05</v>
      </c>
    </row>
    <row r="377" spans="1:6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  <c r="F377" s="1" t="str">
        <f>_xlfn.XLOOKUP(A377,Employees!A376:A876,Employees!F376:F876)</f>
        <v>D02</v>
      </c>
    </row>
    <row r="378" spans="1:6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  <c r="F378" s="1" t="str">
        <f>_xlfn.XLOOKUP(A378,Employees!A377:A877,Employees!F377:F877)</f>
        <v>D01</v>
      </c>
    </row>
    <row r="379" spans="1:6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  <c r="F379" s="1" t="str">
        <f>_xlfn.XLOOKUP(A379,Employees!A378:A878,Employees!F378:F878)</f>
        <v>D03</v>
      </c>
    </row>
    <row r="380" spans="1:6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  <c r="F380" s="1" t="str">
        <f>_xlfn.XLOOKUP(A380,Employees!A379:A879,Employees!F379:F879)</f>
        <v>D03</v>
      </c>
    </row>
    <row r="381" spans="1:6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  <c r="F381" s="1" t="str">
        <f>_xlfn.XLOOKUP(A381,Employees!A380:A880,Employees!F380:F880)</f>
        <v>D03</v>
      </c>
    </row>
    <row r="382" spans="1:6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  <c r="F382" s="1" t="str">
        <f>_xlfn.XLOOKUP(A382,Employees!A381:A881,Employees!F381:F881)</f>
        <v>D04</v>
      </c>
    </row>
    <row r="383" spans="1:6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  <c r="F383" s="1" t="str">
        <f>_xlfn.XLOOKUP(A383,Employees!A382:A882,Employees!F382:F882)</f>
        <v>D03</v>
      </c>
    </row>
    <row r="384" spans="1:6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  <c r="F384" s="1" t="str">
        <f>_xlfn.XLOOKUP(A384,Employees!A383:A883,Employees!F383:F883)</f>
        <v>D03</v>
      </c>
    </row>
    <row r="385" spans="1:6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  <c r="F385" s="1" t="str">
        <f>_xlfn.XLOOKUP(A385,Employees!A384:A884,Employees!F384:F884)</f>
        <v>D01</v>
      </c>
    </row>
    <row r="386" spans="1:6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  <c r="F386" s="1" t="str">
        <f>_xlfn.XLOOKUP(A386,Employees!A385:A885,Employees!F385:F885)</f>
        <v>D04</v>
      </c>
    </row>
    <row r="387" spans="1:6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  <c r="F387" s="1" t="str">
        <f>_xlfn.XLOOKUP(A387,Employees!A386:A886,Employees!F386:F886)</f>
        <v>D02</v>
      </c>
    </row>
    <row r="388" spans="1:6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  <c r="F388" s="1" t="str">
        <f>_xlfn.XLOOKUP(A388,Employees!A387:A887,Employees!F387:F887)</f>
        <v>D05</v>
      </c>
    </row>
    <row r="389" spans="1:6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  <c r="F389" s="1" t="str">
        <f>_xlfn.XLOOKUP(A389,Employees!A388:A888,Employees!F388:F888)</f>
        <v>D03</v>
      </c>
    </row>
    <row r="390" spans="1:6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  <c r="F390" s="1" t="str">
        <f>_xlfn.XLOOKUP(A390,Employees!A389:A889,Employees!F389:F889)</f>
        <v>D01</v>
      </c>
    </row>
    <row r="391" spans="1:6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  <c r="F391" s="1" t="str">
        <f>_xlfn.XLOOKUP(A391,Employees!A390:A890,Employees!F390:F890)</f>
        <v>D04</v>
      </c>
    </row>
    <row r="392" spans="1:6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  <c r="F392" s="1" t="str">
        <f>_xlfn.XLOOKUP(A392,Employees!A391:A891,Employees!F391:F891)</f>
        <v>D02</v>
      </c>
    </row>
    <row r="393" spans="1:6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  <c r="F393" s="1" t="str">
        <f>_xlfn.XLOOKUP(A393,Employees!A392:A892,Employees!F392:F892)</f>
        <v>D03</v>
      </c>
    </row>
    <row r="394" spans="1:6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  <c r="F394" s="1" t="str">
        <f>_xlfn.XLOOKUP(A394,Employees!A393:A893,Employees!F393:F893)</f>
        <v>D02</v>
      </c>
    </row>
    <row r="395" spans="1:6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  <c r="F395" s="1" t="str">
        <f>_xlfn.XLOOKUP(A395,Employees!A394:A894,Employees!F394:F894)</f>
        <v>D04</v>
      </c>
    </row>
    <row r="396" spans="1:6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  <c r="F396" s="1" t="str">
        <f>_xlfn.XLOOKUP(A396,Employees!A395:A895,Employees!F395:F895)</f>
        <v>D02</v>
      </c>
    </row>
    <row r="397" spans="1:6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  <c r="F397" s="1" t="str">
        <f>_xlfn.XLOOKUP(A397,Employees!A396:A896,Employees!F396:F896)</f>
        <v>D02</v>
      </c>
    </row>
    <row r="398" spans="1:6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  <c r="F398" s="1" t="str">
        <f>_xlfn.XLOOKUP(A398,Employees!A397:A897,Employees!F397:F897)</f>
        <v>D01</v>
      </c>
    </row>
    <row r="399" spans="1:6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  <c r="F399" s="1" t="str">
        <f>_xlfn.XLOOKUP(A399,Employees!A398:A898,Employees!F398:F898)</f>
        <v>D04</v>
      </c>
    </row>
    <row r="400" spans="1:6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  <c r="F400" s="1" t="str">
        <f>_xlfn.XLOOKUP(A400,Employees!A399:A899,Employees!F399:F899)</f>
        <v>D02</v>
      </c>
    </row>
    <row r="401" spans="1:6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  <c r="F401" s="1" t="str">
        <f>_xlfn.XLOOKUP(A401,Employees!A400:A900,Employees!F400:F900)</f>
        <v>D01</v>
      </c>
    </row>
    <row r="402" spans="1:6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  <c r="F402" s="1" t="str">
        <f>_xlfn.XLOOKUP(A402,Employees!A401:A901,Employees!F401:F901)</f>
        <v>D02</v>
      </c>
    </row>
    <row r="403" spans="1:6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  <c r="F403" s="1" t="str">
        <f>_xlfn.XLOOKUP(A403,Employees!A402:A902,Employees!F402:F902)</f>
        <v>D01</v>
      </c>
    </row>
    <row r="404" spans="1:6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  <c r="F404" s="1" t="str">
        <f>_xlfn.XLOOKUP(A404,Employees!A403:A903,Employees!F403:F903)</f>
        <v>D04</v>
      </c>
    </row>
    <row r="405" spans="1:6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  <c r="F405" s="1" t="str">
        <f>_xlfn.XLOOKUP(A405,Employees!A404:A904,Employees!F404:F904)</f>
        <v>D01</v>
      </c>
    </row>
    <row r="406" spans="1:6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  <c r="F406" s="1" t="str">
        <f>_xlfn.XLOOKUP(A406,Employees!A405:A905,Employees!F405:F905)</f>
        <v>D02</v>
      </c>
    </row>
    <row r="407" spans="1:6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  <c r="F407" s="1" t="str">
        <f>_xlfn.XLOOKUP(A407,Employees!A406:A906,Employees!F406:F906)</f>
        <v>D04</v>
      </c>
    </row>
    <row r="408" spans="1:6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  <c r="F408" s="1" t="str">
        <f>_xlfn.XLOOKUP(A408,Employees!A407:A907,Employees!F407:F907)</f>
        <v>D05</v>
      </c>
    </row>
    <row r="409" spans="1:6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  <c r="F409" s="1" t="str">
        <f>_xlfn.XLOOKUP(A409,Employees!A408:A908,Employees!F408:F908)</f>
        <v>D05</v>
      </c>
    </row>
    <row r="410" spans="1:6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  <c r="F410" s="1" t="str">
        <f>_xlfn.XLOOKUP(A410,Employees!A409:A909,Employees!F409:F909)</f>
        <v>D03</v>
      </c>
    </row>
    <row r="411" spans="1:6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  <c r="F411" s="1" t="str">
        <f>_xlfn.XLOOKUP(A411,Employees!A410:A910,Employees!F410:F910)</f>
        <v>D02</v>
      </c>
    </row>
    <row r="412" spans="1:6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  <c r="F412" s="1" t="str">
        <f>_xlfn.XLOOKUP(A412,Employees!A411:A911,Employees!F411:F911)</f>
        <v>D02</v>
      </c>
    </row>
    <row r="413" spans="1:6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  <c r="F413" s="1" t="str">
        <f>_xlfn.XLOOKUP(A413,Employees!A412:A912,Employees!F412:F912)</f>
        <v>D03</v>
      </c>
    </row>
    <row r="414" spans="1:6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  <c r="F414" s="1" t="str">
        <f>_xlfn.XLOOKUP(A414,Employees!A413:A913,Employees!F413:F913)</f>
        <v>D03</v>
      </c>
    </row>
    <row r="415" spans="1:6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  <c r="F415" s="1" t="str">
        <f>_xlfn.XLOOKUP(A415,Employees!A414:A914,Employees!F414:F914)</f>
        <v>D02</v>
      </c>
    </row>
    <row r="416" spans="1:6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  <c r="F416" s="1" t="str">
        <f>_xlfn.XLOOKUP(A416,Employees!A415:A915,Employees!F415:F915)</f>
        <v>D05</v>
      </c>
    </row>
    <row r="417" spans="1:6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  <c r="F417" s="1" t="str">
        <f>_xlfn.XLOOKUP(A417,Employees!A416:A916,Employees!F416:F916)</f>
        <v>D04</v>
      </c>
    </row>
    <row r="418" spans="1:6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  <c r="F418" s="1" t="str">
        <f>_xlfn.XLOOKUP(A418,Employees!A417:A917,Employees!F417:F917)</f>
        <v>D01</v>
      </c>
    </row>
    <row r="419" spans="1:6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  <c r="F419" s="1" t="str">
        <f>_xlfn.XLOOKUP(A419,Employees!A418:A918,Employees!F418:F918)</f>
        <v>D05</v>
      </c>
    </row>
    <row r="420" spans="1:6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  <c r="F420" s="1" t="str">
        <f>_xlfn.XLOOKUP(A420,Employees!A419:A919,Employees!F419:F919)</f>
        <v>D03</v>
      </c>
    </row>
    <row r="421" spans="1:6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  <c r="F421" s="1" t="str">
        <f>_xlfn.XLOOKUP(A421,Employees!A420:A920,Employees!F420:F920)</f>
        <v>D05</v>
      </c>
    </row>
    <row r="422" spans="1:6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  <c r="F422" s="1" t="str">
        <f>_xlfn.XLOOKUP(A422,Employees!A421:A921,Employees!F421:F921)</f>
        <v>D03</v>
      </c>
    </row>
    <row r="423" spans="1:6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  <c r="F423" s="1" t="str">
        <f>_xlfn.XLOOKUP(A423,Employees!A422:A922,Employees!F422:F922)</f>
        <v>D03</v>
      </c>
    </row>
    <row r="424" spans="1:6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  <c r="F424" s="1" t="str">
        <f>_xlfn.XLOOKUP(A424,Employees!A423:A923,Employees!F423:F923)</f>
        <v>D04</v>
      </c>
    </row>
    <row r="425" spans="1:6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  <c r="F425" s="1" t="str">
        <f>_xlfn.XLOOKUP(A425,Employees!A424:A924,Employees!F424:F924)</f>
        <v>D04</v>
      </c>
    </row>
    <row r="426" spans="1:6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  <c r="F426" s="1" t="str">
        <f>_xlfn.XLOOKUP(A426,Employees!A425:A925,Employees!F425:F925)</f>
        <v>D02</v>
      </c>
    </row>
    <row r="427" spans="1:6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  <c r="F427" s="1" t="str">
        <f>_xlfn.XLOOKUP(A427,Employees!A426:A926,Employees!F426:F926)</f>
        <v>D03</v>
      </c>
    </row>
    <row r="428" spans="1:6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  <c r="F428" s="1" t="str">
        <f>_xlfn.XLOOKUP(A428,Employees!A427:A927,Employees!F427:F927)</f>
        <v>D03</v>
      </c>
    </row>
    <row r="429" spans="1:6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  <c r="F429" s="1" t="str">
        <f>_xlfn.XLOOKUP(A429,Employees!A428:A928,Employees!F428:F928)</f>
        <v>D01</v>
      </c>
    </row>
    <row r="430" spans="1:6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  <c r="F430" s="1" t="str">
        <f>_xlfn.XLOOKUP(A430,Employees!A429:A929,Employees!F429:F929)</f>
        <v>D01</v>
      </c>
    </row>
    <row r="431" spans="1:6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  <c r="F431" s="1" t="str">
        <f>_xlfn.XLOOKUP(A431,Employees!A430:A930,Employees!F430:F930)</f>
        <v>D02</v>
      </c>
    </row>
    <row r="432" spans="1:6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  <c r="F432" s="1" t="str">
        <f>_xlfn.XLOOKUP(A432,Employees!A431:A931,Employees!F431:F931)</f>
        <v>D05</v>
      </c>
    </row>
    <row r="433" spans="1:6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  <c r="F433" s="1" t="str">
        <f>_xlfn.XLOOKUP(A433,Employees!A432:A932,Employees!F432:F932)</f>
        <v>D02</v>
      </c>
    </row>
    <row r="434" spans="1:6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  <c r="F434" s="1" t="str">
        <f>_xlfn.XLOOKUP(A434,Employees!A433:A933,Employees!F433:F933)</f>
        <v>D05</v>
      </c>
    </row>
    <row r="435" spans="1:6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  <c r="F435" s="1" t="str">
        <f>_xlfn.XLOOKUP(A435,Employees!A434:A934,Employees!F434:F934)</f>
        <v>D01</v>
      </c>
    </row>
    <row r="436" spans="1:6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  <c r="F436" s="1" t="str">
        <f>_xlfn.XLOOKUP(A436,Employees!A435:A935,Employees!F435:F935)</f>
        <v>D01</v>
      </c>
    </row>
    <row r="437" spans="1:6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  <c r="F437" s="1" t="str">
        <f>_xlfn.XLOOKUP(A437,Employees!A436:A936,Employees!F436:F936)</f>
        <v>D03</v>
      </c>
    </row>
    <row r="438" spans="1:6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  <c r="F438" s="1" t="str">
        <f>_xlfn.XLOOKUP(A438,Employees!A437:A937,Employees!F437:F937)</f>
        <v>D05</v>
      </c>
    </row>
    <row r="439" spans="1:6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  <c r="F439" s="1" t="str">
        <f>_xlfn.XLOOKUP(A439,Employees!A438:A938,Employees!F438:F938)</f>
        <v>D05</v>
      </c>
    </row>
    <row r="440" spans="1:6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  <c r="F440" s="1" t="str">
        <f>_xlfn.XLOOKUP(A440,Employees!A439:A939,Employees!F439:F939)</f>
        <v>D05</v>
      </c>
    </row>
    <row r="441" spans="1:6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  <c r="F441" s="1" t="str">
        <f>_xlfn.XLOOKUP(A441,Employees!A440:A940,Employees!F440:F940)</f>
        <v>D01</v>
      </c>
    </row>
    <row r="442" spans="1:6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  <c r="F442" s="1" t="str">
        <f>_xlfn.XLOOKUP(A442,Employees!A441:A941,Employees!F441:F941)</f>
        <v>D05</v>
      </c>
    </row>
    <row r="443" spans="1:6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  <c r="F443" s="1" t="str">
        <f>_xlfn.XLOOKUP(A443,Employees!A442:A942,Employees!F442:F942)</f>
        <v>D04</v>
      </c>
    </row>
    <row r="444" spans="1:6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  <c r="F444" s="1" t="str">
        <f>_xlfn.XLOOKUP(A444,Employees!A443:A943,Employees!F443:F943)</f>
        <v>D01</v>
      </c>
    </row>
    <row r="445" spans="1:6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  <c r="F445" s="1" t="str">
        <f>_xlfn.XLOOKUP(A445,Employees!A444:A944,Employees!F444:F944)</f>
        <v>D01</v>
      </c>
    </row>
    <row r="446" spans="1:6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  <c r="F446" s="1" t="str">
        <f>_xlfn.XLOOKUP(A446,Employees!A445:A945,Employees!F445:F945)</f>
        <v>D04</v>
      </c>
    </row>
    <row r="447" spans="1:6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  <c r="F447" s="1" t="str">
        <f>_xlfn.XLOOKUP(A447,Employees!A446:A946,Employees!F446:F946)</f>
        <v>D03</v>
      </c>
    </row>
    <row r="448" spans="1:6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  <c r="F448" s="1" t="str">
        <f>_xlfn.XLOOKUP(A448,Employees!A447:A947,Employees!F447:F947)</f>
        <v>D02</v>
      </c>
    </row>
    <row r="449" spans="1:6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  <c r="F449" s="1" t="str">
        <f>_xlfn.XLOOKUP(A449,Employees!A448:A948,Employees!F448:F948)</f>
        <v>D01</v>
      </c>
    </row>
    <row r="450" spans="1:6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  <c r="F450" s="1" t="str">
        <f>_xlfn.XLOOKUP(A450,Employees!A449:A949,Employees!F449:F949)</f>
        <v>D02</v>
      </c>
    </row>
    <row r="451" spans="1:6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  <c r="F451" s="1" t="str">
        <f>_xlfn.XLOOKUP(A451,Employees!A450:A950,Employees!F450:F950)</f>
        <v>D04</v>
      </c>
    </row>
    <row r="452" spans="1:6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  <c r="F452" s="1" t="str">
        <f>_xlfn.XLOOKUP(A452,Employees!A451:A951,Employees!F451:F951)</f>
        <v>D02</v>
      </c>
    </row>
    <row r="453" spans="1:6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  <c r="F453" s="1" t="str">
        <f>_xlfn.XLOOKUP(A453,Employees!A452:A952,Employees!F452:F952)</f>
        <v>D02</v>
      </c>
    </row>
    <row r="454" spans="1:6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  <c r="F454" s="1" t="str">
        <f>_xlfn.XLOOKUP(A454,Employees!A453:A953,Employees!F453:F953)</f>
        <v>D02</v>
      </c>
    </row>
    <row r="455" spans="1:6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  <c r="F455" s="1" t="str">
        <f>_xlfn.XLOOKUP(A455,Employees!A454:A954,Employees!F454:F954)</f>
        <v>D05</v>
      </c>
    </row>
    <row r="456" spans="1:6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  <c r="F456" s="1" t="str">
        <f>_xlfn.XLOOKUP(A456,Employees!A455:A955,Employees!F455:F955)</f>
        <v>D03</v>
      </c>
    </row>
    <row r="457" spans="1:6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  <c r="F457" s="1" t="str">
        <f>_xlfn.XLOOKUP(A457,Employees!A456:A956,Employees!F456:F956)</f>
        <v>D05</v>
      </c>
    </row>
    <row r="458" spans="1:6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  <c r="F458" s="1" t="str">
        <f>_xlfn.XLOOKUP(A458,Employees!A457:A957,Employees!F457:F957)</f>
        <v>D01</v>
      </c>
    </row>
    <row r="459" spans="1:6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  <c r="F459" s="1" t="str">
        <f>_xlfn.XLOOKUP(A459,Employees!A458:A958,Employees!F458:F958)</f>
        <v>D01</v>
      </c>
    </row>
    <row r="460" spans="1:6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  <c r="F460" s="1" t="str">
        <f>_xlfn.XLOOKUP(A460,Employees!A459:A959,Employees!F459:F959)</f>
        <v>D02</v>
      </c>
    </row>
    <row r="461" spans="1:6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  <c r="F461" s="1" t="str">
        <f>_xlfn.XLOOKUP(A461,Employees!A460:A960,Employees!F460:F960)</f>
        <v>D04</v>
      </c>
    </row>
    <row r="462" spans="1:6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  <c r="F462" s="1" t="str">
        <f>_xlfn.XLOOKUP(A462,Employees!A461:A961,Employees!F461:F961)</f>
        <v>D03</v>
      </c>
    </row>
    <row r="463" spans="1:6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  <c r="F463" s="1" t="str">
        <f>_xlfn.XLOOKUP(A463,Employees!A462:A962,Employees!F462:F962)</f>
        <v>D05</v>
      </c>
    </row>
    <row r="464" spans="1:6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  <c r="F464" s="1" t="str">
        <f>_xlfn.XLOOKUP(A464,Employees!A463:A963,Employees!F463:F963)</f>
        <v>D04</v>
      </c>
    </row>
    <row r="465" spans="1:6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  <c r="F465" s="1" t="str">
        <f>_xlfn.XLOOKUP(A465,Employees!A464:A964,Employees!F464:F964)</f>
        <v>D01</v>
      </c>
    </row>
    <row r="466" spans="1:6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  <c r="F466" s="1" t="str">
        <f>_xlfn.XLOOKUP(A466,Employees!A465:A965,Employees!F465:F965)</f>
        <v>D02</v>
      </c>
    </row>
    <row r="467" spans="1:6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  <c r="F467" s="1" t="str">
        <f>_xlfn.XLOOKUP(A467,Employees!A466:A966,Employees!F466:F966)</f>
        <v>D01</v>
      </c>
    </row>
    <row r="468" spans="1:6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  <c r="F468" s="1" t="str">
        <f>_xlfn.XLOOKUP(A468,Employees!A467:A967,Employees!F467:F967)</f>
        <v>D02</v>
      </c>
    </row>
    <row r="469" spans="1:6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  <c r="F469" s="1" t="str">
        <f>_xlfn.XLOOKUP(A469,Employees!A468:A968,Employees!F468:F968)</f>
        <v>D01</v>
      </c>
    </row>
    <row r="470" spans="1:6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  <c r="F470" s="1" t="str">
        <f>_xlfn.XLOOKUP(A470,Employees!A469:A969,Employees!F469:F969)</f>
        <v>D03</v>
      </c>
    </row>
    <row r="471" spans="1:6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  <c r="F471" s="1" t="str">
        <f>_xlfn.XLOOKUP(A471,Employees!A470:A970,Employees!F470:F970)</f>
        <v>D02</v>
      </c>
    </row>
    <row r="472" spans="1:6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  <c r="F472" s="1" t="str">
        <f>_xlfn.XLOOKUP(A472,Employees!A471:A971,Employees!F471:F971)</f>
        <v>D05</v>
      </c>
    </row>
    <row r="473" spans="1:6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  <c r="F473" s="1" t="str">
        <f>_xlfn.XLOOKUP(A473,Employees!A472:A972,Employees!F472:F972)</f>
        <v>D02</v>
      </c>
    </row>
    <row r="474" spans="1:6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  <c r="F474" s="1" t="str">
        <f>_xlfn.XLOOKUP(A474,Employees!A473:A973,Employees!F473:F973)</f>
        <v>D02</v>
      </c>
    </row>
    <row r="475" spans="1:6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  <c r="F475" s="1" t="str">
        <f>_xlfn.XLOOKUP(A475,Employees!A474:A974,Employees!F474:F974)</f>
        <v>D01</v>
      </c>
    </row>
    <row r="476" spans="1:6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  <c r="F476" s="1" t="str">
        <f>_xlfn.XLOOKUP(A476,Employees!A475:A975,Employees!F475:F975)</f>
        <v>D04</v>
      </c>
    </row>
    <row r="477" spans="1:6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  <c r="F477" s="1" t="str">
        <f>_xlfn.XLOOKUP(A477,Employees!A476:A976,Employees!F476:F976)</f>
        <v>D04</v>
      </c>
    </row>
    <row r="478" spans="1:6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  <c r="F478" s="1" t="str">
        <f>_xlfn.XLOOKUP(A478,Employees!A477:A977,Employees!F477:F977)</f>
        <v>D04</v>
      </c>
    </row>
    <row r="479" spans="1:6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  <c r="F479" s="1" t="str">
        <f>_xlfn.XLOOKUP(A479,Employees!A478:A978,Employees!F478:F978)</f>
        <v>D02</v>
      </c>
    </row>
    <row r="480" spans="1:6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  <c r="F480" s="1" t="str">
        <f>_xlfn.XLOOKUP(A480,Employees!A479:A979,Employees!F479:F979)</f>
        <v>D04</v>
      </c>
    </row>
    <row r="481" spans="1:6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  <c r="F481" s="1" t="str">
        <f>_xlfn.XLOOKUP(A481,Employees!A480:A980,Employees!F480:F980)</f>
        <v>D05</v>
      </c>
    </row>
    <row r="482" spans="1:6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  <c r="F482" s="1" t="str">
        <f>_xlfn.XLOOKUP(A482,Employees!A481:A981,Employees!F481:F981)</f>
        <v>D05</v>
      </c>
    </row>
    <row r="483" spans="1:6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  <c r="F483" s="1" t="str">
        <f>_xlfn.XLOOKUP(A483,Employees!A482:A982,Employees!F482:F982)</f>
        <v>D05</v>
      </c>
    </row>
    <row r="484" spans="1:6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  <c r="F484" s="1" t="str">
        <f>_xlfn.XLOOKUP(A484,Employees!A483:A983,Employees!F483:F983)</f>
        <v>D04</v>
      </c>
    </row>
    <row r="485" spans="1:6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  <c r="F485" s="1" t="str">
        <f>_xlfn.XLOOKUP(A485,Employees!A484:A984,Employees!F484:F984)</f>
        <v>D03</v>
      </c>
    </row>
    <row r="486" spans="1:6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  <c r="F486" s="1" t="str">
        <f>_xlfn.XLOOKUP(A486,Employees!A485:A985,Employees!F485:F985)</f>
        <v>D03</v>
      </c>
    </row>
    <row r="487" spans="1:6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  <c r="F487" s="1" t="str">
        <f>_xlfn.XLOOKUP(A487,Employees!A486:A986,Employees!F486:F986)</f>
        <v>D03</v>
      </c>
    </row>
    <row r="488" spans="1:6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  <c r="F488" s="1" t="str">
        <f>_xlfn.XLOOKUP(A488,Employees!A487:A987,Employees!F487:F987)</f>
        <v>D01</v>
      </c>
    </row>
    <row r="489" spans="1:6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  <c r="F489" s="1" t="str">
        <f>_xlfn.XLOOKUP(A489,Employees!A488:A988,Employees!F488:F988)</f>
        <v>D03</v>
      </c>
    </row>
    <row r="490" spans="1:6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  <c r="F490" s="1" t="str">
        <f>_xlfn.XLOOKUP(A490,Employees!A489:A989,Employees!F489:F989)</f>
        <v>D05</v>
      </c>
    </row>
    <row r="491" spans="1:6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  <c r="F491" s="1" t="str">
        <f>_xlfn.XLOOKUP(A491,Employees!A490:A990,Employees!F490:F990)</f>
        <v>D02</v>
      </c>
    </row>
    <row r="492" spans="1:6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  <c r="F492" s="1" t="str">
        <f>_xlfn.XLOOKUP(A492,Employees!A491:A991,Employees!F491:F991)</f>
        <v>D02</v>
      </c>
    </row>
    <row r="493" spans="1:6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  <c r="F493" s="1" t="str">
        <f>_xlfn.XLOOKUP(A493,Employees!A492:A992,Employees!F492:F992)</f>
        <v>D01</v>
      </c>
    </row>
    <row r="494" spans="1:6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  <c r="F494" s="1" t="str">
        <f>_xlfn.XLOOKUP(A494,Employees!A493:A993,Employees!F493:F993)</f>
        <v>D02</v>
      </c>
    </row>
    <row r="495" spans="1:6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  <c r="F495" s="1" t="str">
        <f>_xlfn.XLOOKUP(A495,Employees!A494:A994,Employees!F494:F994)</f>
        <v>D04</v>
      </c>
    </row>
    <row r="496" spans="1:6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  <c r="F496" s="1" t="str">
        <f>_xlfn.XLOOKUP(A496,Employees!A495:A995,Employees!F495:F995)</f>
        <v>D04</v>
      </c>
    </row>
    <row r="497" spans="1:6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  <c r="F497" s="1" t="str">
        <f>_xlfn.XLOOKUP(A497,Employees!A496:A996,Employees!F496:F996)</f>
        <v>D01</v>
      </c>
    </row>
    <row r="498" spans="1:6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  <c r="F498" s="1" t="str">
        <f>_xlfn.XLOOKUP(A498,Employees!A497:A997,Employees!F497:F997)</f>
        <v>D04</v>
      </c>
    </row>
    <row r="499" spans="1:6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  <c r="F499" s="1" t="str">
        <f>_xlfn.XLOOKUP(A499,Employees!A498:A998,Employees!F498:F998)</f>
        <v>D02</v>
      </c>
    </row>
    <row r="500" spans="1:6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  <c r="F500" s="1" t="str">
        <f>_xlfn.XLOOKUP(A500,Employees!A499:A999,Employees!F499:F999)</f>
        <v>D03</v>
      </c>
    </row>
    <row r="501" spans="1:6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  <c r="F501" s="1" t="str">
        <f>_xlfn.XLOOKUP(A501,Employees!A500:A1000,Employees!F500:F1000)</f>
        <v>D05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E98EFE0-A5C1-486E-B323-54383D74DECE}">
  <ds:schemaRefs/>
</ds:datastoreItem>
</file>

<file path=customXml/itemProps2.xml><?xml version="1.0" encoding="utf-8"?>
<ds:datastoreItem xmlns:ds="http://schemas.openxmlformats.org/officeDocument/2006/customXml" ds:itemID="{5873706C-6BF7-42E5-8ACF-B3CD0CE06B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Maitraya Dey</cp:lastModifiedBy>
  <dcterms:created xsi:type="dcterms:W3CDTF">2026-07-30T06:46:47Z</dcterms:created>
  <dcterms:modified xsi:type="dcterms:W3CDTF">2026-10-30T08:01:26Z</dcterms:modified>
</cp:coreProperties>
</file>