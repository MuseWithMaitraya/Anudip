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13_ncr:1_{56149B57-B51E-479C-9E60-35DB41B39F0D}" xr6:coauthVersionLast="47" xr6:coauthVersionMax="47" xr10:uidLastSave="{00000000-0000-0000-0000-000000000000}"/>
  <bookViews>
    <workbookView xWindow="-108" yWindow="-108" windowWidth="23256" windowHeight="12456" activeTab="4" xr2:uid="{0E8D831D-16E3-4A54-9DB6-2FAA86419228}"/>
  </bookViews>
  <sheets>
    <sheet name="s1" sheetId="1" r:id="rId1"/>
    <sheet name="s2" sheetId="2" r:id="rId2"/>
    <sheet name="s3" sheetId="3" r:id="rId3"/>
    <sheet name="3dsum" sheetId="4" r:id="rId4"/>
    <sheet name="valid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5" l="1"/>
  <c r="Q5" i="5"/>
  <c r="P5" i="5"/>
  <c r="O5" i="5"/>
  <c r="N5" i="5"/>
  <c r="G6" i="4"/>
  <c r="H6" i="4"/>
  <c r="I6" i="4"/>
  <c r="G7" i="4"/>
  <c r="H7" i="4"/>
  <c r="I7" i="4"/>
  <c r="G8" i="4"/>
  <c r="H8" i="4"/>
  <c r="I8" i="4"/>
  <c r="I9" i="4" s="1"/>
  <c r="G9" i="4"/>
  <c r="H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G18" i="4"/>
  <c r="H18" i="4"/>
  <c r="I18" i="4"/>
  <c r="G19" i="4"/>
  <c r="H19" i="4"/>
  <c r="I19" i="4"/>
  <c r="G20" i="4"/>
  <c r="H20" i="4"/>
  <c r="I20" i="4"/>
  <c r="G21" i="4"/>
  <c r="H21" i="4"/>
  <c r="I21" i="4"/>
</calcChain>
</file>

<file path=xl/sharedStrings.xml><?xml version="1.0" encoding="utf-8"?>
<sst xmlns="http://schemas.openxmlformats.org/spreadsheetml/2006/main" count="48" uniqueCount="15">
  <si>
    <t>Rohan</t>
  </si>
  <si>
    <t>Sayan</t>
  </si>
  <si>
    <t>Dipa</t>
  </si>
  <si>
    <t>sub1</t>
  </si>
  <si>
    <t>sub2</t>
  </si>
  <si>
    <t>sub3</t>
  </si>
  <si>
    <t>Amrita</t>
  </si>
  <si>
    <t>Day-12</t>
  </si>
  <si>
    <t>Number</t>
  </si>
  <si>
    <t>Name</t>
  </si>
  <si>
    <t>ADITYA</t>
  </si>
  <si>
    <t>Emp ID</t>
  </si>
  <si>
    <t>Phone</t>
  </si>
  <si>
    <t>Interview Date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</si>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</sst>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0FBD-3E00-41B3-9FC6-9E86D6711F12}">
  <dimension ref="I10:L14"/>
  <sheetViews>
    <sheetView workbookViewId="0">
      <selection activeCell="L18" sqref="L18"/>
    </sheetView>
  </sheetViews>
  <sheetFormatPr defaultRowHeight="14.4" x14ac:dyDescent="0.3"/>
  <sheetData>
    <row r="10" spans="9:12" x14ac:dyDescent="0.3">
      <c r="J10" t="s">
        <v>3</v>
      </c>
      <c r="K10" t="s">
        <v>4</v>
      </c>
      <c r="L10" t="s">
        <v>5</v>
      </c>
    </row>
    <row r="11" spans="9:12" x14ac:dyDescent="0.3">
      <c r="I11" t="s">
        <v>0</v>
      </c>
      <c r="J11">
        <v>50</v>
      </c>
      <c r="K11">
        <v>60</v>
      </c>
      <c r="L11">
        <v>70</v>
      </c>
    </row>
    <row r="12" spans="9:12" x14ac:dyDescent="0.3">
      <c r="I12" t="s">
        <v>6</v>
      </c>
      <c r="J12">
        <v>59</v>
      </c>
      <c r="K12">
        <v>79</v>
      </c>
      <c r="L12">
        <v>87</v>
      </c>
    </row>
    <row r="13" spans="9:12" x14ac:dyDescent="0.3">
      <c r="I13" t="s">
        <v>1</v>
      </c>
      <c r="J13">
        <v>70</v>
      </c>
      <c r="K13">
        <v>56</v>
      </c>
      <c r="L13">
        <v>87</v>
      </c>
    </row>
    <row r="14" spans="9:12" x14ac:dyDescent="0.3">
      <c r="I14" t="s">
        <v>2</v>
      </c>
      <c r="J14">
        <v>40</v>
      </c>
      <c r="K14">
        <v>80</v>
      </c>
      <c r="L14">
        <v>65</v>
      </c>
    </row>
  </sheetData>
  <dataConsolidate leftLabels="1" topLabels="1" link="1">
    <dataRefs count="3">
      <dataRef ref="I10:L14" sheet="s1"/>
      <dataRef ref="C10:F14" sheet="s2"/>
      <dataRef ref="H7:K11" sheet="s3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10FE-EACF-4017-9F0D-549E8A149563}">
  <dimension ref="C10:F14"/>
  <sheetViews>
    <sheetView workbookViewId="0">
      <selection activeCell="F11" sqref="F11"/>
    </sheetView>
  </sheetViews>
  <sheetFormatPr defaultRowHeight="14.4" x14ac:dyDescent="0.3"/>
  <sheetData>
    <row r="10" spans="3:6" x14ac:dyDescent="0.3">
      <c r="D10" t="s">
        <v>3</v>
      </c>
      <c r="E10" t="s">
        <v>4</v>
      </c>
      <c r="F10" t="s">
        <v>5</v>
      </c>
    </row>
    <row r="11" spans="3:6" x14ac:dyDescent="0.3">
      <c r="C11" t="s">
        <v>0</v>
      </c>
      <c r="D11">
        <v>50</v>
      </c>
      <c r="E11">
        <v>65</v>
      </c>
      <c r="F11">
        <v>70</v>
      </c>
    </row>
    <row r="12" spans="3:6" x14ac:dyDescent="0.3">
      <c r="C12" t="s">
        <v>6</v>
      </c>
      <c r="D12">
        <v>90</v>
      </c>
      <c r="E12">
        <v>79</v>
      </c>
      <c r="F12">
        <v>98</v>
      </c>
    </row>
    <row r="13" spans="3:6" x14ac:dyDescent="0.3">
      <c r="C13" t="s">
        <v>1</v>
      </c>
      <c r="D13">
        <v>70</v>
      </c>
      <c r="E13">
        <v>40</v>
      </c>
      <c r="F13">
        <v>87</v>
      </c>
    </row>
    <row r="14" spans="3:6" x14ac:dyDescent="0.3">
      <c r="C14" t="s">
        <v>2</v>
      </c>
      <c r="D14">
        <v>40</v>
      </c>
      <c r="E14">
        <v>70</v>
      </c>
      <c r="F14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5399-41D4-4363-8F2B-492691EE0D58}">
  <dimension ref="H7:K11"/>
  <sheetViews>
    <sheetView workbookViewId="0">
      <selection activeCell="J8" sqref="J8"/>
    </sheetView>
  </sheetViews>
  <sheetFormatPr defaultRowHeight="14.4" x14ac:dyDescent="0.3"/>
  <sheetData>
    <row r="7" spans="8:11" x14ac:dyDescent="0.3">
      <c r="I7" t="s">
        <v>3</v>
      </c>
      <c r="J7" t="s">
        <v>4</v>
      </c>
      <c r="K7" t="s">
        <v>5</v>
      </c>
    </row>
    <row r="8" spans="8:11" x14ac:dyDescent="0.3">
      <c r="H8" t="s">
        <v>0</v>
      </c>
      <c r="I8">
        <v>79</v>
      </c>
      <c r="J8">
        <v>60</v>
      </c>
      <c r="K8">
        <v>70</v>
      </c>
    </row>
    <row r="9" spans="8:11" x14ac:dyDescent="0.3">
      <c r="H9" t="s">
        <v>6</v>
      </c>
      <c r="I9">
        <v>59</v>
      </c>
      <c r="J9">
        <v>76</v>
      </c>
      <c r="K9">
        <v>87</v>
      </c>
    </row>
    <row r="10" spans="8:11" x14ac:dyDescent="0.3">
      <c r="H10" t="s">
        <v>1</v>
      </c>
      <c r="I10">
        <v>40</v>
      </c>
      <c r="J10">
        <v>50</v>
      </c>
      <c r="K10">
        <v>87</v>
      </c>
    </row>
    <row r="11" spans="8:11" x14ac:dyDescent="0.3">
      <c r="H11" t="s">
        <v>2</v>
      </c>
      <c r="I11">
        <v>40</v>
      </c>
      <c r="J11">
        <v>80</v>
      </c>
      <c r="K11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A124-1BE0-4E2D-9179-40DB9A40FECB}">
  <dimension ref="E5:I21"/>
  <sheetViews>
    <sheetView workbookViewId="0">
      <selection activeCell="F9" sqref="F9"/>
    </sheetView>
  </sheetViews>
  <sheetFormatPr defaultRowHeight="14.4" outlineLevelRow="1" x14ac:dyDescent="0.3"/>
  <cols>
    <col min="5" max="5" width="2.21875" customWidth="1"/>
    <col min="6" max="6" width="6.6640625" customWidth="1"/>
  </cols>
  <sheetData>
    <row r="5" spans="5:9" x14ac:dyDescent="0.3">
      <c r="G5" t="s">
        <v>3</v>
      </c>
      <c r="H5" t="s">
        <v>4</v>
      </c>
      <c r="I5" t="s">
        <v>5</v>
      </c>
    </row>
    <row r="6" spans="5:9" hidden="1" outlineLevel="1" x14ac:dyDescent="0.3">
      <c r="F6" t="s">
        <v>7</v>
      </c>
      <c r="G6">
        <f>'s1'!$J$11</f>
        <v>50</v>
      </c>
      <c r="H6">
        <f>'s1'!$K$11</f>
        <v>60</v>
      </c>
      <c r="I6">
        <f>'s1'!$L$11</f>
        <v>70</v>
      </c>
    </row>
    <row r="7" spans="5:9" hidden="1" outlineLevel="1" collapsed="1" x14ac:dyDescent="0.3">
      <c r="F7" t="s">
        <v>7</v>
      </c>
      <c r="G7">
        <f>'s2'!$D$11</f>
        <v>50</v>
      </c>
      <c r="H7">
        <f>'s2'!$E$11</f>
        <v>65</v>
      </c>
      <c r="I7">
        <f>'s2'!$F$11</f>
        <v>70</v>
      </c>
    </row>
    <row r="8" spans="5:9" hidden="1" outlineLevel="1" collapsed="1" x14ac:dyDescent="0.3">
      <c r="F8" t="s">
        <v>7</v>
      </c>
      <c r="G8">
        <f>'s3'!$I$8</f>
        <v>79</v>
      </c>
      <c r="H8">
        <f>'s3'!$J$8</f>
        <v>60</v>
      </c>
      <c r="I8">
        <f>'s3'!$K$8</f>
        <v>70</v>
      </c>
    </row>
    <row r="9" spans="5:9" collapsed="1" x14ac:dyDescent="0.3">
      <c r="E9" t="s">
        <v>0</v>
      </c>
      <c r="G9">
        <f>SUM(G6:G8)</f>
        <v>179</v>
      </c>
      <c r="H9">
        <f>SUM(H6:H8)</f>
        <v>185</v>
      </c>
      <c r="I9">
        <f>SUM(I6:I8)</f>
        <v>210</v>
      </c>
    </row>
    <row r="10" spans="5:9" hidden="1" outlineLevel="1" x14ac:dyDescent="0.3">
      <c r="F10" t="s">
        <v>7</v>
      </c>
      <c r="G10">
        <f>'s1'!$J$12</f>
        <v>59</v>
      </c>
      <c r="H10">
        <f>'s1'!$K$12</f>
        <v>79</v>
      </c>
      <c r="I10">
        <f>'s1'!$L$12</f>
        <v>87</v>
      </c>
    </row>
    <row r="11" spans="5:9" hidden="1" outlineLevel="1" collapsed="1" x14ac:dyDescent="0.3">
      <c r="F11" t="s">
        <v>7</v>
      </c>
      <c r="G11">
        <f>'s2'!$D$12</f>
        <v>90</v>
      </c>
      <c r="H11">
        <f>'s2'!$E$12</f>
        <v>79</v>
      </c>
      <c r="I11">
        <f>'s2'!$F$12</f>
        <v>98</v>
      </c>
    </row>
    <row r="12" spans="5:9" hidden="1" outlineLevel="1" collapsed="1" x14ac:dyDescent="0.3">
      <c r="F12" t="s">
        <v>7</v>
      </c>
      <c r="G12">
        <f>'s3'!$I$9</f>
        <v>59</v>
      </c>
      <c r="H12">
        <f>'s3'!$J$9</f>
        <v>76</v>
      </c>
      <c r="I12">
        <f>'s3'!$K$9</f>
        <v>87</v>
      </c>
    </row>
    <row r="13" spans="5:9" collapsed="1" x14ac:dyDescent="0.3">
      <c r="E13" t="s">
        <v>6</v>
      </c>
      <c r="G13">
        <f>SUM(G10:G12)</f>
        <v>208</v>
      </c>
      <c r="H13">
        <f>SUM(H10:H12)</f>
        <v>234</v>
      </c>
      <c r="I13">
        <f>SUM(I10:I12)</f>
        <v>272</v>
      </c>
    </row>
    <row r="14" spans="5:9" hidden="1" outlineLevel="1" x14ac:dyDescent="0.3">
      <c r="F14" t="s">
        <v>7</v>
      </c>
      <c r="G14">
        <f>'s1'!$J$13</f>
        <v>70</v>
      </c>
      <c r="H14">
        <f>'s1'!$K$13</f>
        <v>56</v>
      </c>
      <c r="I14">
        <f>'s1'!$L$13</f>
        <v>87</v>
      </c>
    </row>
    <row r="15" spans="5:9" hidden="1" outlineLevel="1" collapsed="1" x14ac:dyDescent="0.3">
      <c r="F15" t="s">
        <v>7</v>
      </c>
      <c r="G15">
        <f>'s2'!$D$13</f>
        <v>70</v>
      </c>
      <c r="H15">
        <f>'s2'!$E$13</f>
        <v>40</v>
      </c>
      <c r="I15">
        <f>'s2'!$F$13</f>
        <v>87</v>
      </c>
    </row>
    <row r="16" spans="5:9" hidden="1" outlineLevel="1" collapsed="1" x14ac:dyDescent="0.3">
      <c r="F16" t="s">
        <v>7</v>
      </c>
      <c r="G16">
        <f>'s3'!$I$10</f>
        <v>40</v>
      </c>
      <c r="H16">
        <f>'s3'!$J$10</f>
        <v>50</v>
      </c>
      <c r="I16">
        <f>'s3'!$K$10</f>
        <v>87</v>
      </c>
    </row>
    <row r="17" spans="5:9" collapsed="1" x14ac:dyDescent="0.3">
      <c r="E17" t="s">
        <v>1</v>
      </c>
      <c r="G17">
        <f>SUM(G14:G16)</f>
        <v>180</v>
      </c>
      <c r="H17">
        <f>SUM(H14:H16)</f>
        <v>146</v>
      </c>
      <c r="I17">
        <f>SUM(I14:I16)</f>
        <v>261</v>
      </c>
    </row>
    <row r="18" spans="5:9" hidden="1" outlineLevel="1" x14ac:dyDescent="0.3">
      <c r="F18" t="s">
        <v>7</v>
      </c>
      <c r="G18">
        <f>'s1'!$J$14</f>
        <v>40</v>
      </c>
      <c r="H18">
        <f>'s1'!$K$14</f>
        <v>80</v>
      </c>
      <c r="I18">
        <f>'s1'!$L$14</f>
        <v>65</v>
      </c>
    </row>
    <row r="19" spans="5:9" hidden="1" outlineLevel="1" collapsed="1" x14ac:dyDescent="0.3">
      <c r="F19" t="s">
        <v>7</v>
      </c>
      <c r="G19">
        <f>'s2'!$D$14</f>
        <v>40</v>
      </c>
      <c r="H19">
        <f>'s2'!$E$14</f>
        <v>70</v>
      </c>
      <c r="I19">
        <f>'s2'!$F$14</f>
        <v>49</v>
      </c>
    </row>
    <row r="20" spans="5:9" hidden="1" outlineLevel="1" collapsed="1" x14ac:dyDescent="0.3">
      <c r="F20" t="s">
        <v>7</v>
      </c>
      <c r="G20">
        <f>'s3'!$I$11</f>
        <v>40</v>
      </c>
      <c r="H20">
        <f>'s3'!$J$11</f>
        <v>80</v>
      </c>
      <c r="I20">
        <f>'s3'!$K$11</f>
        <v>89</v>
      </c>
    </row>
    <row r="21" spans="5:9" collapsed="1" x14ac:dyDescent="0.3">
      <c r="E21" t="s">
        <v>2</v>
      </c>
      <c r="G21">
        <f>SUM(G18:G20)</f>
        <v>120</v>
      </c>
      <c r="H21">
        <f>SUM(H18:H20)</f>
        <v>230</v>
      </c>
      <c r="I21">
        <f>SUM(I18:I20)</f>
        <v>203</v>
      </c>
    </row>
  </sheetData>
  <dataConsolidate leftLabels="1" topLabels="1" link="1">
    <dataRefs count="3">
      <dataRef ref="I10:L14" sheet="s1"/>
      <dataRef ref="C10:F14" sheet="s2"/>
      <dataRef ref="H7:K11" sheet="s3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0EA4-B548-49C3-9A36-0EC05BFFC9EE}">
  <dimension ref="B2:U15"/>
  <sheetViews>
    <sheetView tabSelected="1" topLeftCell="H1" workbookViewId="0">
      <selection activeCell="U11" sqref="U11"/>
    </sheetView>
  </sheetViews>
  <sheetFormatPr defaultRowHeight="14.4" x14ac:dyDescent="0.3"/>
  <cols>
    <col min="10" max="10" width="11" bestFit="1" customWidth="1"/>
    <col min="11" max="11" width="13.109375" bestFit="1" customWidth="1"/>
  </cols>
  <sheetData>
    <row r="2" spans="2:21" x14ac:dyDescent="0.3">
      <c r="B2" s="1" t="s">
        <v>8</v>
      </c>
      <c r="T2" s="1" t="s">
        <v>9</v>
      </c>
    </row>
    <row r="3" spans="2:21" x14ac:dyDescent="0.3">
      <c r="B3" s="1"/>
      <c r="T3" s="1" t="s">
        <v>14</v>
      </c>
      <c r="U3" t="b">
        <f>AND(ISTEXT(T3),LEN(T3)&gt;=3,LEN(T3)&lt;=10)</f>
        <v>1</v>
      </c>
    </row>
    <row r="4" spans="2:21" x14ac:dyDescent="0.3">
      <c r="B4" s="1"/>
      <c r="F4" s="1">
        <v>123</v>
      </c>
      <c r="H4" s="1" t="s">
        <v>9</v>
      </c>
      <c r="I4" s="1" t="s">
        <v>11</v>
      </c>
      <c r="J4" s="1" t="s">
        <v>12</v>
      </c>
      <c r="K4" s="3" t="s">
        <v>13</v>
      </c>
      <c r="L4" s="2"/>
      <c r="M4" s="2"/>
      <c r="T4" s="1"/>
    </row>
    <row r="5" spans="2:21" x14ac:dyDescent="0.3">
      <c r="B5" s="1"/>
      <c r="F5" s="1">
        <v>45</v>
      </c>
      <c r="H5" s="1" t="s">
        <v>10</v>
      </c>
      <c r="I5" s="1">
        <v>101</v>
      </c>
      <c r="J5" s="1">
        <v>1234567890</v>
      </c>
      <c r="K5" s="4">
        <v>46323</v>
      </c>
      <c r="L5" s="2"/>
      <c r="M5" s="2"/>
      <c r="N5" t="b">
        <f>EXACT(UPPER(H5),H5)</f>
        <v>1</v>
      </c>
      <c r="O5">
        <f>COUNTIF($I$5:$I$12,I5)</f>
        <v>1</v>
      </c>
      <c r="P5" t="b">
        <f>AND(ISNUMBER(J5),LEN(J5)=10)</f>
        <v>1</v>
      </c>
      <c r="Q5" t="b">
        <f>WEEKDAY(K5,2)&lt;=5</f>
        <v>1</v>
      </c>
      <c r="T5" s="1"/>
    </row>
    <row r="6" spans="2:21" x14ac:dyDescent="0.3">
      <c r="B6" s="1"/>
      <c r="F6" s="1">
        <v>26</v>
      </c>
      <c r="H6" s="1"/>
      <c r="I6" s="1"/>
      <c r="J6" s="1"/>
      <c r="K6" s="4"/>
      <c r="L6" s="2"/>
      <c r="M6" s="2"/>
    </row>
    <row r="7" spans="2:21" x14ac:dyDescent="0.3">
      <c r="B7" s="1"/>
      <c r="F7" s="1">
        <v>78</v>
      </c>
      <c r="H7" s="1"/>
      <c r="I7" s="1"/>
      <c r="J7" s="1"/>
      <c r="K7" s="4"/>
      <c r="L7" s="2"/>
      <c r="M7" s="2"/>
    </row>
    <row r="8" spans="2:21" x14ac:dyDescent="0.3">
      <c r="B8" s="1"/>
      <c r="F8" s="1">
        <v>987</v>
      </c>
      <c r="H8" s="1"/>
      <c r="I8" s="1"/>
      <c r="J8" s="1"/>
      <c r="K8" s="4"/>
      <c r="L8" s="2"/>
      <c r="M8" s="2"/>
    </row>
    <row r="9" spans="2:21" x14ac:dyDescent="0.3">
      <c r="B9" s="1"/>
      <c r="F9" s="1"/>
      <c r="H9" s="1"/>
      <c r="I9" s="1"/>
      <c r="J9" s="1"/>
      <c r="K9" s="4"/>
      <c r="L9" s="2"/>
      <c r="M9" s="2"/>
    </row>
    <row r="10" spans="2:21" x14ac:dyDescent="0.3">
      <c r="F10" s="1"/>
      <c r="H10" s="1"/>
      <c r="I10" s="1"/>
      <c r="J10" s="1"/>
      <c r="K10" s="4"/>
      <c r="L10" s="2"/>
      <c r="M10" s="2"/>
    </row>
    <row r="11" spans="2:21" x14ac:dyDescent="0.3">
      <c r="F11" s="1"/>
      <c r="H11" s="1"/>
      <c r="I11" s="1"/>
      <c r="J11" s="1"/>
      <c r="K11" s="1"/>
      <c r="L11" s="2"/>
      <c r="M11" s="2"/>
    </row>
    <row r="12" spans="2:21" x14ac:dyDescent="0.3">
      <c r="F12" s="1"/>
      <c r="H12" s="1"/>
      <c r="I12" s="1"/>
      <c r="J12" s="1"/>
      <c r="K12" s="1"/>
      <c r="L12" s="2"/>
      <c r="M12" s="2"/>
    </row>
    <row r="13" spans="2:21" x14ac:dyDescent="0.3">
      <c r="F13" s="1"/>
    </row>
    <row r="14" spans="2:21" x14ac:dyDescent="0.3">
      <c r="F14" s="1"/>
    </row>
    <row r="15" spans="2:21" x14ac:dyDescent="0.3">
      <c r="F15" s="1"/>
    </row>
  </sheetData>
  <dataValidations count="7">
    <dataValidation type="whole" allowBlank="1" showInputMessage="1" showErrorMessage="1" errorTitle="Error" error="Please enter number correctly" promptTitle="Input" prompt="Enter value between 1 and 100" sqref="B3:B9" xr:uid="{0FBEB93D-8045-4612-91FB-79D4ACE3D777}">
      <formula1>1</formula1>
      <formula2>100</formula2>
    </dataValidation>
    <dataValidation type="whole" allowBlank="1" showInputMessage="1" showErrorMessage="1" errorTitle="Error" error="Check number again" sqref="F4:F15" xr:uid="{F4E09DA5-EE4C-436E-B365-32FDC7CE0934}">
      <formula1>1</formula1>
      <formula2>100</formula2>
    </dataValidation>
    <dataValidation type="custom" allowBlank="1" showInputMessage="1" showErrorMessage="1" errorTitle="Error" error="Enter name in uppercase" sqref="H5:H12" xr:uid="{9D192CB2-6E68-4087-9DDE-C81E82BF544C}">
      <formula1>EXACT(UPPER(H5),H5)</formula1>
    </dataValidation>
    <dataValidation type="custom" allowBlank="1" showInputMessage="1" showErrorMessage="1" sqref="I5:I12" xr:uid="{A72B51E5-22C8-413D-8161-ABEB9960DD29}">
      <formula1>COUNTIF($I$5:$I$12,I5)=1</formula1>
    </dataValidation>
    <dataValidation type="custom" allowBlank="1" showInputMessage="1" showErrorMessage="1" sqref="J5:J12" xr:uid="{E418E9DA-2370-4187-A5D8-7EB2A8B30BB0}">
      <formula1>AND(ISNUMBER(J5),LEN(J5)=10)</formula1>
    </dataValidation>
    <dataValidation type="custom" allowBlank="1" showInputMessage="1" showErrorMessage="1" sqref="K5:K12" xr:uid="{A3BAF902-DE58-41E4-87C8-13868544A674}">
      <formula1>WEEKDAY(K5,2)&lt;=5</formula1>
    </dataValidation>
    <dataValidation type="custom" allowBlank="1" showInputMessage="1" showErrorMessage="1" sqref="T3:T5" xr:uid="{A55EEA54-79E9-4CEC-84B8-A91B66B93DA5}">
      <formula1>AND(ISTEXT(T3),LEN(T3)&gt;=3,LEN(T3)&lt;=10)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3dsum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2026-10-28T05:46:03Z</dcterms:created>
  <dcterms:modified xsi:type="dcterms:W3CDTF">2026-10-28T07:52:32Z</dcterms:modified>
</cp:coreProperties>
</file>