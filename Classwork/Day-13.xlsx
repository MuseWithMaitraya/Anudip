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13_ncr:1_{91E0B8E3-8CD2-4CC0-A2D7-1F0B2513B46D}" xr6:coauthVersionLast="47" xr6:coauthVersionMax="47" xr10:uidLastSave="{00000000-0000-0000-0000-000000000000}"/>
  <bookViews>
    <workbookView xWindow="-108" yWindow="-108" windowWidth="23256" windowHeight="12456" xr2:uid="{0E8D831D-16E3-4A54-9DB6-2FAA86419228}"/>
  </bookViews>
  <sheets>
    <sheet name="validation" sheetId="5" r:id="rId1"/>
    <sheet name="dependent_dropdown" sheetId="6" r:id="rId2"/>
    <sheet name="cleaning" sheetId="7" r:id="rId3"/>
  </sheets>
  <definedNames>
    <definedName name="City">dependent_dropdown!$H$11:$H$15</definedName>
    <definedName name="Country">dependent_dropdown!$F$11:$F$15</definedName>
    <definedName name="Flower">dependent_dropdown!$H$3:$H$4</definedName>
    <definedName name="Fruit">dependent_dropdown!$G$3:$G$5</definedName>
    <definedName name="State">dependent_dropdown!$G$11:$G$15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5" l="1"/>
  <c r="N18" i="5"/>
  <c r="N17" i="5"/>
  <c r="N16" i="5"/>
  <c r="P10" i="5"/>
  <c r="P12" i="5"/>
  <c r="P9" i="5"/>
  <c r="P8" i="5"/>
  <c r="P7" i="5"/>
  <c r="U5" i="5"/>
  <c r="T5" i="5"/>
  <c r="S5" i="5"/>
  <c r="R5" i="5"/>
  <c r="Q5" i="5"/>
</calcChain>
</file>

<file path=xl/sharedStrings.xml><?xml version="1.0" encoding="utf-8"?>
<sst xmlns="http://schemas.openxmlformats.org/spreadsheetml/2006/main" count="45" uniqueCount="34">
  <si>
    <t>Number</t>
  </si>
  <si>
    <t>Name</t>
  </si>
  <si>
    <t>ADITYA</t>
  </si>
  <si>
    <t>Emp ID</t>
  </si>
  <si>
    <t>Phone</t>
  </si>
  <si>
    <t>Interview Date</t>
  </si>
  <si>
    <t>PAN</t>
  </si>
  <si>
    <t>WXYZ12345A</t>
  </si>
  <si>
    <t>WXYZ78965A</t>
  </si>
  <si>
    <t>Reg. No</t>
  </si>
  <si>
    <t>R1234</t>
  </si>
  <si>
    <t>S5779</t>
  </si>
  <si>
    <t>Email</t>
  </si>
  <si>
    <t>abc@xyz.com</t>
  </si>
  <si>
    <t>Category</t>
  </si>
  <si>
    <t>Sub Category</t>
  </si>
  <si>
    <t>Fruit</t>
  </si>
  <si>
    <t>Flower</t>
  </si>
  <si>
    <t>Apple</t>
  </si>
  <si>
    <t>Mango</t>
  </si>
  <si>
    <t>Grapes</t>
  </si>
  <si>
    <t>Rose</t>
  </si>
  <si>
    <t>Hibiscus</t>
  </si>
  <si>
    <t>City</t>
  </si>
  <si>
    <t>Dunlop</t>
  </si>
  <si>
    <t>Kolkata</t>
  </si>
  <si>
    <t>New Town</t>
  </si>
  <si>
    <t>Location</t>
  </si>
  <si>
    <t>Pin</t>
  </si>
  <si>
    <t>Payment Method</t>
  </si>
  <si>
    <t>Credit card</t>
  </si>
  <si>
    <t>Debit Card</t>
  </si>
  <si>
    <t>UPI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</si>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</sst>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vertical="center"/>
    </xf>
    <xf numFmtId="0" fontId="2" fillId="0" borderId="1" xfId="1" applyBorder="1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0EA4-B548-49C3-9A36-0EC05BFFC9EE}">
  <dimension ref="B2:U19"/>
  <sheetViews>
    <sheetView tabSelected="1" workbookViewId="0">
      <selection activeCell="J20" sqref="J20"/>
    </sheetView>
  </sheetViews>
  <sheetFormatPr defaultRowHeight="14.4" x14ac:dyDescent="0.3"/>
  <cols>
    <col min="10" max="10" width="11" bestFit="1" customWidth="1"/>
    <col min="11" max="11" width="13.109375" bestFit="1" customWidth="1"/>
    <col min="12" max="12" width="11.77734375" bestFit="1" customWidth="1"/>
    <col min="14" max="14" width="12.33203125" bestFit="1" customWidth="1"/>
  </cols>
  <sheetData>
    <row r="2" spans="2:21" x14ac:dyDescent="0.3">
      <c r="B2" s="1" t="s">
        <v>0</v>
      </c>
    </row>
    <row r="3" spans="2:21" x14ac:dyDescent="0.3">
      <c r="B3" s="1"/>
    </row>
    <row r="4" spans="2:21" x14ac:dyDescent="0.3">
      <c r="B4" s="1"/>
      <c r="F4" s="1">
        <v>123</v>
      </c>
      <c r="H4" s="1" t="s">
        <v>1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9</v>
      </c>
      <c r="N4" s="1" t="s">
        <v>12</v>
      </c>
    </row>
    <row r="5" spans="2:21" x14ac:dyDescent="0.3">
      <c r="B5" s="1"/>
      <c r="F5" s="1">
        <v>45</v>
      </c>
      <c r="H5" s="1" t="s">
        <v>2</v>
      </c>
      <c r="I5" s="1">
        <v>101</v>
      </c>
      <c r="J5" s="1">
        <v>1234567890</v>
      </c>
      <c r="K5" s="2">
        <v>46323</v>
      </c>
      <c r="L5" s="1" t="s">
        <v>7</v>
      </c>
      <c r="M5" s="1" t="s">
        <v>10</v>
      </c>
      <c r="N5" s="4" t="s">
        <v>13</v>
      </c>
      <c r="Q5" t="b">
        <f>LEFT(L5,4)="WXYZ"</f>
        <v>1</v>
      </c>
      <c r="R5" t="b">
        <f>ISNUMBER(VALUE(MID(L5,5,5)))</f>
        <v>1</v>
      </c>
      <c r="S5" t="b">
        <f>RIGHT(L5,1)="A"</f>
        <v>1</v>
      </c>
      <c r="T5" t="b">
        <f>LEN(L5)=10</f>
        <v>1</v>
      </c>
      <c r="U5" s="3" t="b">
        <f>AND(LEFT(L5,4)="WXYZ",ISNUMBER(VALUE(MID(L5,5,5))), RIGHT(L5,1)="A",LEN(L5)=10)</f>
        <v>1</v>
      </c>
    </row>
    <row r="6" spans="2:21" x14ac:dyDescent="0.3">
      <c r="B6" s="1"/>
      <c r="F6" s="1">
        <v>26</v>
      </c>
      <c r="H6" s="1"/>
      <c r="I6" s="1"/>
      <c r="J6" s="1"/>
      <c r="K6" s="2"/>
      <c r="L6" s="1" t="s">
        <v>8</v>
      </c>
      <c r="M6" s="1" t="s">
        <v>11</v>
      </c>
      <c r="N6" s="1"/>
    </row>
    <row r="7" spans="2:21" x14ac:dyDescent="0.3">
      <c r="B7" s="1"/>
      <c r="F7" s="1">
        <v>78</v>
      </c>
      <c r="H7" s="1"/>
      <c r="I7" s="1"/>
      <c r="J7" s="1"/>
      <c r="K7" s="2"/>
      <c r="L7" s="1"/>
      <c r="M7" s="1"/>
      <c r="N7" s="1"/>
      <c r="P7" t="b">
        <f>LEN(M5)=5</f>
        <v>1</v>
      </c>
    </row>
    <row r="8" spans="2:21" x14ac:dyDescent="0.3">
      <c r="B8" s="1"/>
      <c r="F8" s="1">
        <v>987</v>
      </c>
      <c r="H8" s="1"/>
      <c r="I8" s="1"/>
      <c r="J8" s="1"/>
      <c r="K8" s="2"/>
      <c r="L8" s="1"/>
      <c r="M8" s="1"/>
      <c r="N8" s="1"/>
      <c r="P8" t="b">
        <f>ISNUMBER(VALUE(RIGHT(M5,4)))</f>
        <v>1</v>
      </c>
    </row>
    <row r="9" spans="2:21" x14ac:dyDescent="0.3">
      <c r="B9" s="1"/>
      <c r="F9" s="1"/>
      <c r="H9" s="1"/>
      <c r="I9" s="1"/>
      <c r="J9" s="1"/>
      <c r="K9" s="2"/>
      <c r="L9" s="1"/>
      <c r="M9" s="1"/>
      <c r="N9" s="1"/>
      <c r="P9" t="b">
        <f>NOT(ISNUMBER(VALUE(LEFT(M5,1))))</f>
        <v>1</v>
      </c>
    </row>
    <row r="10" spans="2:21" x14ac:dyDescent="0.3">
      <c r="F10" s="1"/>
      <c r="H10" s="1"/>
      <c r="I10" s="1"/>
      <c r="J10" s="1"/>
      <c r="K10" s="2"/>
      <c r="L10" s="1"/>
      <c r="M10" s="1"/>
      <c r="N10" s="1"/>
      <c r="P10" s="3" t="b">
        <f>AND(LEN(M5)=5, ISNUMBER(VALUE(RIGHT(M5,4))), AND(CODE(LEFT(M5,1))&gt;=65,CODE(LEFT(M5,1))&lt;=90))</f>
        <v>1</v>
      </c>
    </row>
    <row r="11" spans="2:21" x14ac:dyDescent="0.3">
      <c r="F11" s="1"/>
      <c r="H11" s="1"/>
      <c r="I11" s="1"/>
      <c r="J11" s="1"/>
      <c r="K11" s="1"/>
      <c r="L11" s="1"/>
      <c r="M11" s="1"/>
      <c r="N11" s="1"/>
    </row>
    <row r="12" spans="2:21" x14ac:dyDescent="0.3">
      <c r="F12" s="1"/>
      <c r="H12" s="1"/>
      <c r="I12" s="1"/>
      <c r="J12" s="1"/>
      <c r="K12" s="1"/>
      <c r="L12" s="1"/>
      <c r="M12" s="1"/>
      <c r="N12" s="1"/>
      <c r="P12" t="b">
        <f>AND(CODE(LEFT(M5,1))&gt;=65,CODE(LEFT(M5,1))&lt;=90)</f>
        <v>1</v>
      </c>
    </row>
    <row r="13" spans="2:21" x14ac:dyDescent="0.3">
      <c r="F13" s="1"/>
    </row>
    <row r="14" spans="2:21" x14ac:dyDescent="0.3">
      <c r="F14" s="1"/>
    </row>
    <row r="15" spans="2:21" x14ac:dyDescent="0.3">
      <c r="F15" s="1"/>
    </row>
    <row r="16" spans="2:21" x14ac:dyDescent="0.3">
      <c r="N16" t="b">
        <f>ISNUMBER(SEARCH("@",N5))</f>
        <v>1</v>
      </c>
    </row>
    <row r="17" spans="14:14" x14ac:dyDescent="0.3">
      <c r="N17" t="b">
        <f>ISNUMBER(SEARCH(".",N5))</f>
        <v>1</v>
      </c>
    </row>
    <row r="18" spans="14:14" x14ac:dyDescent="0.3">
      <c r="N18" t="b">
        <f>ISERROR(SEARCH(" ",N5))</f>
        <v>1</v>
      </c>
    </row>
    <row r="19" spans="14:14" x14ac:dyDescent="0.3">
      <c r="N19" s="3" t="b">
        <f>AND(ISNUMBER(SEARCH("@",N5)), ISNUMBER(SEARCH(".",N5)), ISERROR(SEARCH(" ",N5)))</f>
        <v>1</v>
      </c>
    </row>
  </sheetData>
  <dataConsolidate/>
  <dataValidations count="9">
    <dataValidation type="whole" allowBlank="1" showInputMessage="1" showErrorMessage="1" errorTitle="Error" error="Please enter number correctly" promptTitle="Input" prompt="Enter value between 1 and 100" sqref="B3:B9" xr:uid="{0FBEB93D-8045-4612-91FB-79D4ACE3D777}">
      <formula1>1</formula1>
      <formula2>100</formula2>
    </dataValidation>
    <dataValidation type="whole" allowBlank="1" showInputMessage="1" showErrorMessage="1" errorTitle="Error" error="Check number again" sqref="F4:F15" xr:uid="{F4E09DA5-EE4C-436E-B365-32FDC7CE0934}">
      <formula1>1</formula1>
      <formula2>100</formula2>
    </dataValidation>
    <dataValidation type="custom" allowBlank="1" showInputMessage="1" showErrorMessage="1" errorTitle="Error" error="Enter name in uppercase" sqref="H5:H12" xr:uid="{9D192CB2-6E68-4087-9DDE-C81E82BF544C}">
      <formula1>EXACT(UPPER(H5),H5)</formula1>
    </dataValidation>
    <dataValidation type="custom" allowBlank="1" showInputMessage="1" showErrorMessage="1" sqref="I5:I12" xr:uid="{A72B51E5-22C8-413D-8161-ABEB9960DD29}">
      <formula1>COUNTIF($I$5:$I$12,I5)=1</formula1>
    </dataValidation>
    <dataValidation type="custom" allowBlank="1" showInputMessage="1" showErrorMessage="1" sqref="J5:J12" xr:uid="{E418E9DA-2370-4187-A5D8-7EB2A8B30BB0}">
      <formula1>AND(ISNUMBER(J5),LEN(J5)=10)</formula1>
    </dataValidation>
    <dataValidation type="custom" allowBlank="1" showInputMessage="1" showErrorMessage="1" sqref="K5:K12" xr:uid="{A3BAF902-DE58-41E4-87C8-13868544A674}">
      <formula1>WEEKDAY(K5,2)&lt;=5</formula1>
    </dataValidation>
    <dataValidation type="custom" allowBlank="1" showInputMessage="1" showErrorMessage="1" sqref="L5:L12" xr:uid="{6772B6F2-7094-4059-A3E3-0F94AFB141FC}">
      <formula1>AND(LEFT(L5,4)="WXYZ",ISNUMBER(VALUE(MID(L5,5,5))), RIGHT(L5,1)="A",LEN(L5)=10)</formula1>
    </dataValidation>
    <dataValidation type="custom" allowBlank="1" showInputMessage="1" showErrorMessage="1" sqref="M5:M12" xr:uid="{0EC3FF33-5142-48F2-ACC7-45CBFC7B959F}">
      <formula1>AND(LEN(M5)=5, ISNUMBER(VALUE(RIGHT(M5,4))), AND(CODE(LEFT(M5,1))&gt;=65,CODE(LEFT(M5,1))&lt;=90))</formula1>
    </dataValidation>
    <dataValidation type="custom" allowBlank="1" showInputMessage="1" showErrorMessage="1" sqref="N5:N12" xr:uid="{3E9C2B6C-A9D0-4F3F-A0C6-1C0BE0AD9426}">
      <formula1>AND(ISNUMBER(SEARCH("@",N1048574)), ISNUMBER(SEARCH(".",N1048574)), ISERROR(SEARCH(" ",N1048574)))</formula1>
    </dataValidation>
  </dataValidations>
  <hyperlinks>
    <hyperlink ref="N5" r:id="rId1" xr:uid="{51D6509D-49A0-47C2-8240-4D800651A1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E559-B09D-41B7-A780-AC4BFDEC2F42}">
  <dimension ref="B2:M5"/>
  <sheetViews>
    <sheetView workbookViewId="0">
      <selection activeCell="H16" sqref="H16"/>
    </sheetView>
  </sheetViews>
  <sheetFormatPr defaultRowHeight="14.4" x14ac:dyDescent="0.3"/>
  <cols>
    <col min="3" max="3" width="11.6640625" bestFit="1" customWidth="1"/>
    <col min="4" max="4" width="15.109375" bestFit="1" customWidth="1"/>
    <col min="8" max="8" width="10.33203125" customWidth="1"/>
    <col min="13" max="13" width="11.6640625" bestFit="1" customWidth="1"/>
  </cols>
  <sheetData>
    <row r="2" spans="2:13" x14ac:dyDescent="0.3">
      <c r="B2" s="1" t="s">
        <v>14</v>
      </c>
      <c r="C2" s="1" t="s">
        <v>15</v>
      </c>
      <c r="G2" t="s">
        <v>16</v>
      </c>
      <c r="H2" t="s">
        <v>17</v>
      </c>
      <c r="L2" s="1" t="s">
        <v>14</v>
      </c>
      <c r="M2" s="1" t="s">
        <v>15</v>
      </c>
    </row>
    <row r="3" spans="2:13" x14ac:dyDescent="0.3">
      <c r="B3" s="1" t="s">
        <v>16</v>
      </c>
      <c r="C3" s="1" t="s">
        <v>18</v>
      </c>
      <c r="G3" t="s">
        <v>18</v>
      </c>
      <c r="H3" t="s">
        <v>21</v>
      </c>
      <c r="L3" t="s">
        <v>17</v>
      </c>
      <c r="M3" t="s">
        <v>22</v>
      </c>
    </row>
    <row r="4" spans="2:13" x14ac:dyDescent="0.3">
      <c r="G4" t="s">
        <v>19</v>
      </c>
      <c r="H4" t="s">
        <v>22</v>
      </c>
    </row>
    <row r="5" spans="2:13" x14ac:dyDescent="0.3">
      <c r="G5" t="s">
        <v>20</v>
      </c>
    </row>
  </sheetData>
  <dataValidations count="4">
    <dataValidation type="list" allowBlank="1" showInputMessage="1" showErrorMessage="1" sqref="B3 L3" xr:uid="{0A91B7BC-DD57-41E6-8E97-B8BAFCBC845A}">
      <formula1>$G$2:$H$2</formula1>
    </dataValidation>
    <dataValidation type="list" allowBlank="1" showInputMessage="1" showErrorMessage="1" sqref="C3" xr:uid="{81F61EE1-0587-48C3-952E-9900F47D4C98}">
      <formula1>INDIRECT($B$3)</formula1>
    </dataValidation>
    <dataValidation type="list" allowBlank="1" showInputMessage="1" showErrorMessage="1" sqref="M3" xr:uid="{5E1CCC18-818D-4C34-B5E6-996AF86B7952}">
      <formula1>_xlfn.XLOOKUP(L3,$G$2:$H$2,G3:H5)</formula1>
    </dataValidation>
    <dataValidation type="list" allowBlank="1" showInputMessage="1" showErrorMessage="1" sqref="D14" xr:uid="{83FAD159-6BEB-4F2D-BAA0-46E3F4295F69}">
      <formula1>INDIRECT($C$14)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7ACA-3A55-4DE1-86D3-082C7026D3DD}">
  <dimension ref="A1:J7"/>
  <sheetViews>
    <sheetView workbookViewId="0">
      <selection activeCell="F20" sqref="F20"/>
    </sheetView>
  </sheetViews>
  <sheetFormatPr defaultRowHeight="14.4" x14ac:dyDescent="0.3"/>
  <cols>
    <col min="1" max="1" width="11.77734375" customWidth="1"/>
    <col min="4" max="4" width="13" customWidth="1"/>
    <col min="7" max="7" width="19.33203125" style="7" customWidth="1"/>
    <col min="10" max="10" width="15.88671875" customWidth="1"/>
  </cols>
  <sheetData>
    <row r="1" spans="1:10" x14ac:dyDescent="0.3">
      <c r="A1" s="5" t="s">
        <v>27</v>
      </c>
      <c r="B1" s="5" t="s">
        <v>23</v>
      </c>
      <c r="C1" s="5" t="s">
        <v>28</v>
      </c>
      <c r="D1" s="5" t="s">
        <v>4</v>
      </c>
      <c r="G1" s="6" t="s">
        <v>0</v>
      </c>
      <c r="J1" s="5" t="s">
        <v>29</v>
      </c>
    </row>
    <row r="2" spans="1:10" x14ac:dyDescent="0.3">
      <c r="A2" t="s">
        <v>24</v>
      </c>
      <c r="B2" t="s">
        <v>25</v>
      </c>
      <c r="C2">
        <v>700108</v>
      </c>
      <c r="D2">
        <v>7894561230</v>
      </c>
      <c r="G2" s="7">
        <v>4787854236423330</v>
      </c>
      <c r="J2" t="s">
        <v>30</v>
      </c>
    </row>
    <row r="3" spans="1:10" x14ac:dyDescent="0.3">
      <c r="A3" t="s">
        <v>26</v>
      </c>
      <c r="B3" t="s">
        <v>25</v>
      </c>
      <c r="C3">
        <v>700156</v>
      </c>
      <c r="D3">
        <v>7894526310</v>
      </c>
      <c r="G3" s="7">
        <v>554548652252558</v>
      </c>
      <c r="J3" t="s">
        <v>33</v>
      </c>
    </row>
    <row r="4" spans="1:10" x14ac:dyDescent="0.3">
      <c r="J4" t="s">
        <v>31</v>
      </c>
    </row>
    <row r="5" spans="1:10" x14ac:dyDescent="0.3">
      <c r="J5" t="s">
        <v>33</v>
      </c>
    </row>
    <row r="6" spans="1:10" x14ac:dyDescent="0.3">
      <c r="J6" t="s">
        <v>33</v>
      </c>
    </row>
    <row r="7" spans="1:10" x14ac:dyDescent="0.3">
      <c r="J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validation</vt:lpstr>
      <vt:lpstr>dependent_dropdown</vt:lpstr>
      <vt:lpstr>cleaning</vt:lpstr>
      <vt:lpstr>City</vt:lpstr>
      <vt:lpstr>Country</vt:lpstr>
      <vt:lpstr>Flower</vt:lpstr>
      <vt:lpstr>Fruit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2026-10-28T05:46:03Z</dcterms:created>
  <dcterms:modified xsi:type="dcterms:W3CDTF">2026-10-30T08:05:37Z</dcterms:modified>
</cp:coreProperties>
</file>