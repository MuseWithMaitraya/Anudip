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"/>
    </mc:Choice>
  </mc:AlternateContent>
  <xr:revisionPtr revIDLastSave="0" documentId="13_ncr:1_{0D816610-5C81-4820-937B-042BBF493086}" xr6:coauthVersionLast="47" xr6:coauthVersionMax="47" xr10:uidLastSave="{00000000-0000-0000-0000-000000000000}"/>
  <bookViews>
    <workbookView xWindow="-108" yWindow="-108" windowWidth="23256" windowHeight="12456" xr2:uid="{3D5A6663-8F77-4B80-A481-AAB0459C77B5}"/>
  </bookViews>
  <sheets>
    <sheet name="Sales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K3" i="1" a="1"/>
  <c r="K3" i="1" s="1"/>
  <c r="K4" i="1" a="1"/>
  <c r="K4" i="1" s="1"/>
  <c r="K5" i="1" a="1"/>
  <c r="K5" i="1"/>
  <c r="K6" i="1" a="1"/>
  <c r="K6" i="1"/>
  <c r="K7" i="1" a="1"/>
  <c r="K7" i="1"/>
  <c r="K2" i="1" a="1"/>
  <c r="K2" i="1" s="1"/>
  <c r="J3" i="1"/>
  <c r="J4" i="1"/>
  <c r="J5" i="1"/>
  <c r="J6" i="1"/>
  <c r="J7" i="1"/>
  <c r="J2" i="1" l="1"/>
  <c r="I3" i="1"/>
  <c r="I4" i="1"/>
  <c r="I5" i="1"/>
  <c r="I6" i="1"/>
  <c r="I7" i="1"/>
  <c r="I2" i="1"/>
  <c r="F3" i="1"/>
  <c r="F4" i="1"/>
  <c r="F5" i="1"/>
  <c r="F6" i="1"/>
  <c r="F7" i="1"/>
  <c r="F2" i="1"/>
  <c r="H3" i="1"/>
  <c r="H4" i="1"/>
  <c r="H5" i="1"/>
  <c r="H6" i="1"/>
  <c r="H7" i="1"/>
  <c r="H2" i="1"/>
  <c r="G3" i="1"/>
  <c r="G4" i="1"/>
  <c r="G5" i="1"/>
  <c r="G6" i="1"/>
  <c r="G7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<sst xmlns="http://schemas.openxmlformats.org/spreadsheetml/2006/main" count="33" uniqueCount="31">
  <si>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</si>
  <si>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</si>
  <si>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</si>
  <si>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</si>
  <si>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</si>
  <si>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</si>
  <si>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</si>
  <si>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</si>
  <si>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</si>
  <si>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</si>
  <si>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ProductID</t>
  </si>
  <si>
    <t>Product</t>
  </si>
  <si>
    <t>Sales</t>
  </si>
  <si>
    <t>Target</t>
  </si>
  <si>
    <t>Region</t>
  </si>
  <si>
    <t>1. Use the IF function to evaluate whether each product met its sales target.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</si>
  <si>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</si>
  <si>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</si>
  <si>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</si>
  <si>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>5. Use the IF function to categorize sales performance as "Excellent" (&gt;=200), "Good" (&gt;=150), or "Needs Improvement" (&lt;150).</t>
  </si>
  <si>
    <t>6. Use the IF function to assign a price tier based on the sales value. "High" for sales &gt; 200, "Medium" for sales between 100 and 200, and "Low" for sales &lt; 100.</t>
  </si>
  <si>
    <t>7. Use the IF function to calculate the year-end bonus. If sales &gt;= 150 and region is "North", the bonus is $500, otherwise, it's $300.</t>
  </si>
  <si>
    <t>8. Use the IF function to mark high performers. A product is a high performer if its sales are in the top 25% of all sales.</t>
  </si>
  <si>
    <t>Target Reached</t>
  </si>
  <si>
    <t>Regional Bonus</t>
  </si>
  <si>
    <t>Commission Rate</t>
  </si>
  <si>
    <t>Bonus Amount</t>
  </si>
  <si>
    <t>Sales Performance</t>
  </si>
  <si>
    <t>Price Tier</t>
  </si>
  <si>
    <t>Year-end Bonus</t>
  </si>
  <si>
    <t>High Performer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</si>
</sst>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E81FF"/>
        <bgColor indexed="64"/>
      </patternFill>
    </fill>
    <fill>
      <patternFill patternType="solid">
        <fgColor rgb="FFFF8FB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FBC"/>
      <color rgb="FFDE8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7792-9833-480D-B3ED-BA3225012D7B}">
  <dimension ref="A1:O16"/>
  <sheetViews>
    <sheetView tabSelected="1" topLeftCell="F1" workbookViewId="0">
      <selection activeCell="G5" sqref="G5"/>
    </sheetView>
  </sheetViews>
  <sheetFormatPr defaultRowHeight="14.4" x14ac:dyDescent="0.3"/>
  <cols>
    <col min="1" max="1" width="9.109375" bestFit="1" customWidth="1"/>
    <col min="3" max="3" width="16.109375" bestFit="1" customWidth="1"/>
    <col min="6" max="6" width="13.77734375" bestFit="1" customWidth="1"/>
    <col min="7" max="7" width="13.5546875" bestFit="1" customWidth="1"/>
    <col min="8" max="8" width="15.21875" bestFit="1" customWidth="1"/>
    <col min="9" max="9" width="12.88671875" bestFit="1" customWidth="1"/>
    <col min="10" max="10" width="17.77734375" bestFit="1" customWidth="1"/>
    <col min="12" max="12" width="13.88671875" bestFit="1" customWidth="1"/>
    <col min="13" max="13" width="13.44140625" bestFit="1" customWidth="1"/>
    <col min="15" max="15" width="145.88671875" bestFit="1" customWidth="1"/>
  </cols>
  <sheetData>
    <row r="1" spans="1:15" x14ac:dyDescent="0.3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10" t="s">
        <v>23</v>
      </c>
      <c r="G1" s="11" t="s">
        <v>24</v>
      </c>
      <c r="H1" s="12" t="s">
        <v>25</v>
      </c>
      <c r="I1" s="13" t="s">
        <v>26</v>
      </c>
      <c r="J1" s="14" t="s">
        <v>27</v>
      </c>
      <c r="K1" s="15" t="s">
        <v>28</v>
      </c>
      <c r="L1" s="16" t="s">
        <v>29</v>
      </c>
      <c r="M1" s="17" t="s">
        <v>30</v>
      </c>
    </row>
    <row r="2" spans="1:15" x14ac:dyDescent="0.3">
      <c r="A2" s="18">
        <v>101</v>
      </c>
      <c r="B2" s="18" t="s">
        <v>0</v>
      </c>
      <c r="C2" s="18">
        <v>120</v>
      </c>
      <c r="D2" s="18">
        <v>150</v>
      </c>
      <c r="E2" s="18" t="s">
        <v>1</v>
      </c>
      <c r="F2" s="19" t="str">
        <f>IF(C2&gt;=D2,"Yes","No")</f>
        <v>No</v>
      </c>
      <c r="G2" s="20" t="str">
        <f>IF(AND(E2="North", C2&gt;200),"Eligible","Not Eligible")</f>
        <v>Not Eligible</v>
      </c>
      <c r="H2" s="21" t="str">
        <f>IF(C2&gt;=200,"10%",IF(C2&gt;=150,"7%","5%"))</f>
        <v>5%</v>
      </c>
      <c r="I2" s="29">
        <f>IF(F2="Yes",C2*10%,C2*5%)</f>
        <v>6</v>
      </c>
      <c r="J2" s="22" t="str">
        <f>IF(C2&gt;=200,"Excellent",IF(C2&gt;=150,"Good","Needs Improvement"))</f>
        <v>Needs Improvement</v>
      </c>
      <c r="K2" s="23" t="str" cm="1">
        <f t="array" ref="K2">_xlfn.IFS(C2&gt;200,"High",C2&gt;=100, "Medium",C2&lt;100,"Low")</f>
        <v>Medium</v>
      </c>
      <c r="L2" s="24" t="str">
        <f>IF(AND(C2&gt;=150,E2="North"),"$500","$300")</f>
        <v>$300</v>
      </c>
      <c r="M2" s="25" t="str">
        <f>IF(C2&gt;=_xlfn.PERCENTILE.INC(C$2:C$7,75%),"Yes","No")</f>
        <v>No</v>
      </c>
    </row>
    <row r="3" spans="1:15" x14ac:dyDescent="0.3">
      <c r="A3" s="18">
        <v>102</v>
      </c>
      <c r="B3" s="18" t="s">
        <v>2</v>
      </c>
      <c r="C3" s="18">
        <v>150</v>
      </c>
      <c r="D3" s="18">
        <v>140</v>
      </c>
      <c r="E3" s="18" t="s">
        <v>3</v>
      </c>
      <c r="F3" s="19" t="str">
        <f t="shared" ref="F3:F7" si="0">IF(C3&gt;=D3,"Yes","No")</f>
        <v>Yes</v>
      </c>
      <c r="G3" s="20" t="str">
        <f t="shared" ref="G3:G7" si="1">IF(AND(E3="North", C3&gt;200),"Eligible","Not Eligible")</f>
        <v>Not Eligible</v>
      </c>
      <c r="H3" s="21" t="str">
        <f t="shared" ref="H3:H7" si="2">IF(C3&gt;=200,"10%",IF(C3&gt;=150,"7%","5%"))</f>
        <v>7%</v>
      </c>
      <c r="I3" s="29">
        <f t="shared" ref="I3:I7" si="3">IF(F3="Yes",C3*10%,C3*5%)</f>
        <v>15</v>
      </c>
      <c r="J3" s="22" t="str">
        <f t="shared" ref="J3:J7" si="4">IF(C3&gt;=200,"Excellent",IF(C3&gt;=150,"Good","Needs Improvement"))</f>
        <v>Good</v>
      </c>
      <c r="K3" s="23" t="str" cm="1">
        <f t="array" ref="K3">_xlfn.IFS(C3&gt;200,"High",C3&gt;=100, "Medium",C3&lt;100,"Low")</f>
        <v>Medium</v>
      </c>
      <c r="L3" s="24" t="str">
        <f t="shared" ref="L3:L7" si="5">IF(AND(C3&gt;=150,E3="North"),"$500","$300")</f>
        <v>$300</v>
      </c>
      <c r="M3" s="25" t="str">
        <f t="shared" ref="M3:M7" si="6">IF(C3&gt;=_xlfn.PERCENTILE.INC(C$2:C$7,75%),"Yes","No")</f>
        <v>No</v>
      </c>
    </row>
    <row r="4" spans="1:15" x14ac:dyDescent="0.3">
      <c r="A4" s="18">
        <v>103</v>
      </c>
      <c r="B4" s="18" t="s">
        <v>4</v>
      </c>
      <c r="C4" s="18">
        <v>200</v>
      </c>
      <c r="D4" s="18">
        <v>200</v>
      </c>
      <c r="E4" s="18" t="s">
        <v>5</v>
      </c>
      <c r="F4" s="19" t="str">
        <f t="shared" si="0"/>
        <v>Yes</v>
      </c>
      <c r="G4" s="20" t="str">
        <f t="shared" si="1"/>
        <v>Not Eligible</v>
      </c>
      <c r="H4" s="21" t="str">
        <f t="shared" si="2"/>
        <v>10%</v>
      </c>
      <c r="I4" s="29">
        <f t="shared" si="3"/>
        <v>20</v>
      </c>
      <c r="J4" s="22" t="str">
        <f t="shared" si="4"/>
        <v>Excellent</v>
      </c>
      <c r="K4" s="23" t="str" cm="1">
        <f t="array" ref="K4">_xlfn.IFS(C4&gt;200,"High",C4&gt;=100, "Medium",C4&lt;100,"Low")</f>
        <v>Medium</v>
      </c>
      <c r="L4" s="24" t="str">
        <f t="shared" si="5"/>
        <v>$300</v>
      </c>
      <c r="M4" s="25" t="str">
        <f t="shared" si="6"/>
        <v>Yes</v>
      </c>
    </row>
    <row r="5" spans="1:15" x14ac:dyDescent="0.3">
      <c r="A5" s="18">
        <v>104</v>
      </c>
      <c r="B5" s="18" t="s">
        <v>6</v>
      </c>
      <c r="C5" s="18">
        <v>90</v>
      </c>
      <c r="D5" s="18">
        <v>100</v>
      </c>
      <c r="E5" s="18" t="s">
        <v>7</v>
      </c>
      <c r="F5" s="19" t="str">
        <f t="shared" si="0"/>
        <v>No</v>
      </c>
      <c r="G5" s="20" t="str">
        <f t="shared" si="1"/>
        <v>Not Eligible</v>
      </c>
      <c r="H5" s="21" t="str">
        <f t="shared" si="2"/>
        <v>5%</v>
      </c>
      <c r="I5" s="29">
        <f t="shared" si="3"/>
        <v>4.5</v>
      </c>
      <c r="J5" s="22" t="str">
        <f t="shared" si="4"/>
        <v>Needs Improvement</v>
      </c>
      <c r="K5" s="23" t="str" cm="1">
        <f t="array" ref="K5">_xlfn.IFS(C5&gt;200,"High",C5&gt;=100, "Medium",C5&lt;100,"Low")</f>
        <v>Low</v>
      </c>
      <c r="L5" s="24" t="str">
        <f t="shared" si="5"/>
        <v>$300</v>
      </c>
      <c r="M5" s="25" t="str">
        <f t="shared" si="6"/>
        <v>No</v>
      </c>
    </row>
    <row r="6" spans="1:15" x14ac:dyDescent="0.3">
      <c r="A6" s="18">
        <v>105</v>
      </c>
      <c r="B6" s="18" t="s">
        <v>8</v>
      </c>
      <c r="C6" s="18">
        <v>220</v>
      </c>
      <c r="D6" s="18">
        <v>210</v>
      </c>
      <c r="E6" s="18" t="s">
        <v>1</v>
      </c>
      <c r="F6" s="19" t="str">
        <f t="shared" si="0"/>
        <v>Yes</v>
      </c>
      <c r="G6" s="20" t="str">
        <f t="shared" si="1"/>
        <v>Eligible</v>
      </c>
      <c r="H6" s="21" t="str">
        <f t="shared" si="2"/>
        <v>10%</v>
      </c>
      <c r="I6" s="29">
        <f t="shared" si="3"/>
        <v>22</v>
      </c>
      <c r="J6" s="22" t="str">
        <f t="shared" si="4"/>
        <v>Excellent</v>
      </c>
      <c r="K6" s="23" t="str" cm="1">
        <f t="array" ref="K6">_xlfn.IFS(C6&gt;200,"High",C6&gt;=100, "Medium",C6&lt;100,"Low")</f>
        <v>High</v>
      </c>
      <c r="L6" s="24" t="str">
        <f t="shared" si="5"/>
        <v>$500</v>
      </c>
      <c r="M6" s="25" t="str">
        <f t="shared" si="6"/>
        <v>Yes</v>
      </c>
    </row>
    <row r="7" spans="1:15" x14ac:dyDescent="0.3">
      <c r="A7" s="18">
        <v>106</v>
      </c>
      <c r="B7" s="18" t="s">
        <v>9</v>
      </c>
      <c r="C7" s="18">
        <v>130</v>
      </c>
      <c r="D7" s="18">
        <v>160</v>
      </c>
      <c r="E7" s="18" t="s">
        <v>3</v>
      </c>
      <c r="F7" s="19" t="str">
        <f t="shared" si="0"/>
        <v>No</v>
      </c>
      <c r="G7" s="20" t="str">
        <f t="shared" si="1"/>
        <v>Not Eligible</v>
      </c>
      <c r="H7" s="21" t="str">
        <f t="shared" si="2"/>
        <v>5%</v>
      </c>
      <c r="I7" s="29">
        <f t="shared" si="3"/>
        <v>6.5</v>
      </c>
      <c r="J7" s="22" t="str">
        <f t="shared" si="4"/>
        <v>Needs Improvement</v>
      </c>
      <c r="K7" s="23" t="str" cm="1">
        <f t="array" ref="K7">_xlfn.IFS(C7&gt;200,"High",C7&gt;=100, "Medium",C7&lt;100,"Low")</f>
        <v>Medium</v>
      </c>
      <c r="L7" s="24" t="str">
        <f t="shared" si="5"/>
        <v>$300</v>
      </c>
      <c r="M7" s="25" t="str">
        <f t="shared" si="6"/>
        <v>No</v>
      </c>
    </row>
    <row r="9" spans="1:15" x14ac:dyDescent="0.3">
      <c r="O9" s="1" t="s">
        <v>15</v>
      </c>
    </row>
    <row r="10" spans="1:15" x14ac:dyDescent="0.3">
      <c r="O10" s="2" t="s">
        <v>16</v>
      </c>
    </row>
    <row r="11" spans="1:15" x14ac:dyDescent="0.3">
      <c r="C11" s="26"/>
      <c r="D11" s="27"/>
      <c r="O11" s="3" t="s">
        <v>17</v>
      </c>
    </row>
    <row r="12" spans="1:15" x14ac:dyDescent="0.3">
      <c r="C12" s="28"/>
      <c r="D12" s="28"/>
      <c r="O12" s="4" t="s">
        <v>18</v>
      </c>
    </row>
    <row r="13" spans="1:15" x14ac:dyDescent="0.3">
      <c r="O13" s="5" t="s">
        <v>19</v>
      </c>
    </row>
    <row r="14" spans="1:15" x14ac:dyDescent="0.3">
      <c r="O14" s="6" t="s">
        <v>20</v>
      </c>
    </row>
    <row r="15" spans="1:15" x14ac:dyDescent="0.3">
      <c r="O15" s="7" t="s">
        <v>21</v>
      </c>
    </row>
    <row r="16" spans="1:15" x14ac:dyDescent="0.3">
      <c r="O16" s="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Maitraya Dey</dc:creator>
  <cp:lastModifiedBy>Maitraya Dey</cp:lastModifiedBy>
  <dcterms:created xsi:type="dcterms:W3CDTF">2026-09-29T17:05:32Z</dcterms:created>
  <dcterms:modified xsi:type="dcterms:W3CDTF">2026-09-30T07:00:25Z</dcterms:modified>
</cp:coreProperties>
</file>