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Labwork\Vlookup\"/>
    </mc:Choice>
  </mc:AlternateContent>
  <xr:revisionPtr revIDLastSave="0" documentId="13_ncr:1_{1D92AF91-BC81-41F3-8AA3-1E1749FE0FDA}" xr6:coauthVersionLast="47" xr6:coauthVersionMax="47" xr10:uidLastSave="{00000000-0000-0000-0000-000000000000}"/>
  <bookViews>
    <workbookView xWindow="-108" yWindow="-108" windowWidth="23256" windowHeight="12456" activeTab="1" xr2:uid="{2E31F9DE-71EA-432F-9FB7-AA64D663466A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2" l="1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  <c r="D3" i="2"/>
  <c r="D4" i="2"/>
  <c r="D5" i="2"/>
  <c r="D6" i="2"/>
  <c r="D7" i="2"/>
  <c r="D8" i="2"/>
  <c r="D9" i="2"/>
  <c r="D2" i="2"/>
  <c r="G21" i="2" s="1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E2" i="2"/>
  <c r="F2" i="2" s="1"/>
  <c r="D2" i="1"/>
  <c r="D3" i="1"/>
  <c r="D4" i="1"/>
  <c r="D5" i="1"/>
  <c r="D6" i="1"/>
  <c r="D7" i="1"/>
  <c r="D8" i="1"/>
  <c r="G17" i="2" l="1"/>
  <c r="G22" i="2"/>
  <c r="H18" i="2"/>
  <c r="G20" i="2"/>
  <c r="G18" i="2"/>
  <c r="H17" i="2"/>
  <c r="H22" i="2"/>
  <c r="H20" i="2"/>
  <c r="G19" i="2"/>
  <c r="H21" i="2"/>
  <c r="F9" i="2"/>
  <c r="H19" i="2" s="1"/>
</calcChain>
</file>

<file path=xl/sharedStrings.xml><?xml version="1.0" encoding="utf-8"?>
<sst xmlns="http://schemas.openxmlformats.org/spreadsheetml/2006/main" count="36" uniqueCount="27">
  <si>
    <t>Price</t>
  </si>
  <si>
    <t>Product A</t>
  </si>
  <si>
    <t>Product B</t>
  </si>
  <si>
    <t>Product C</t>
  </si>
  <si>
    <t>Product D</t>
  </si>
  <si>
    <t>Product E</t>
  </si>
  <si>
    <t>Product F</t>
  </si>
  <si>
    <t>ProductID</t>
  </si>
  <si>
    <t>Product</t>
  </si>
  <si>
    <t>Quantity</t>
  </si>
  <si>
    <t>TotalPrice</t>
  </si>
  <si>
    <t>OrderID</t>
  </si>
  <si>
    <t>Product Name</t>
  </si>
  <si>
    <t>Valid ProductID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</si>
  <si>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</si>
  <si>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</si>
  <si>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</si>
  <si>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</si>
  <si>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</si>
  <si>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</si>
  <si>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</si>
  <si>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Discounted Price</t>
  </si>
  <si>
    <t>Product G</t>
  </si>
  <si>
    <t>Ordered/Not Ordered</t>
  </si>
  <si>
    <t>Total Quantity</t>
  </si>
  <si>
    <t>Max Order Value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</si>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</sst>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ABFF"/>
        <bgColor indexed="64"/>
      </patternFill>
    </fill>
    <fill>
      <patternFill patternType="solid">
        <fgColor rgb="FF7DD4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DD4FF"/>
      <color rgb="FF66CCFF"/>
      <color rgb="FFFFA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6238-6C7A-4FAA-85EE-3516DAAC42BA}">
  <dimension ref="A1:D8"/>
  <sheetViews>
    <sheetView workbookViewId="0">
      <selection activeCell="H13" sqref="H13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5.109375" bestFit="1" customWidth="1"/>
    <col min="4" max="4" width="19.44140625" bestFit="1" customWidth="1"/>
  </cols>
  <sheetData>
    <row r="1" spans="1:4" x14ac:dyDescent="0.3">
      <c r="A1" s="8" t="s">
        <v>7</v>
      </c>
      <c r="B1" s="8" t="s">
        <v>8</v>
      </c>
      <c r="C1" s="8" t="s">
        <v>0</v>
      </c>
      <c r="D1" s="22" t="s">
        <v>23</v>
      </c>
    </row>
    <row r="2" spans="1:4" x14ac:dyDescent="0.3">
      <c r="A2" s="13">
        <v>101</v>
      </c>
      <c r="B2" s="13" t="s">
        <v>1</v>
      </c>
      <c r="C2" s="13">
        <v>120</v>
      </c>
      <c r="D2" s="23" t="str">
        <f>IF(ISNA(VLOOKUP(A2,Orders!$B$1:$B$8,1,0)),"No","Yes")</f>
        <v>Yes</v>
      </c>
    </row>
    <row r="3" spans="1:4" x14ac:dyDescent="0.3">
      <c r="A3" s="13">
        <v>102</v>
      </c>
      <c r="B3" s="13" t="s">
        <v>2</v>
      </c>
      <c r="C3" s="13">
        <v>150</v>
      </c>
      <c r="D3" s="23" t="str">
        <f>IF(ISNA(VLOOKUP(A3,Orders!$B$1:$B$8,1,0)),"No","Yes")</f>
        <v>Yes</v>
      </c>
    </row>
    <row r="4" spans="1:4" x14ac:dyDescent="0.3">
      <c r="A4" s="13">
        <v>103</v>
      </c>
      <c r="B4" s="13" t="s">
        <v>3</v>
      </c>
      <c r="C4" s="13">
        <v>200</v>
      </c>
      <c r="D4" s="23" t="str">
        <f>IF(ISNA(VLOOKUP(A4,Orders!$B$1:$B$8,1,0)),"No","Yes")</f>
        <v>Yes</v>
      </c>
    </row>
    <row r="5" spans="1:4" x14ac:dyDescent="0.3">
      <c r="A5" s="13">
        <v>104</v>
      </c>
      <c r="B5" s="13" t="s">
        <v>4</v>
      </c>
      <c r="C5" s="13">
        <v>90</v>
      </c>
      <c r="D5" s="23" t="str">
        <f>IF(ISNA(VLOOKUP(A5,Orders!$B$1:$B$8,1,0)),"No","Yes")</f>
        <v>Yes</v>
      </c>
    </row>
    <row r="6" spans="1:4" x14ac:dyDescent="0.3">
      <c r="A6" s="13">
        <v>105</v>
      </c>
      <c r="B6" s="13" t="s">
        <v>5</v>
      </c>
      <c r="C6" s="13">
        <v>220</v>
      </c>
      <c r="D6" s="23" t="str">
        <f>IF(ISNA(VLOOKUP(A6,Orders!$B$1:$B$8,1,0)),"No","Yes")</f>
        <v>Yes</v>
      </c>
    </row>
    <row r="7" spans="1:4" x14ac:dyDescent="0.3">
      <c r="A7" s="13">
        <v>106</v>
      </c>
      <c r="B7" s="13" t="s">
        <v>6</v>
      </c>
      <c r="C7" s="13">
        <v>130</v>
      </c>
      <c r="D7" s="23" t="str">
        <f>IF(ISNA(VLOOKUP(A7,Orders!$B$1:$B$8,1,0)),"No","Yes")</f>
        <v>Yes</v>
      </c>
    </row>
    <row r="8" spans="1:4" x14ac:dyDescent="0.3">
      <c r="A8" s="13">
        <v>107</v>
      </c>
      <c r="B8" s="13" t="s">
        <v>22</v>
      </c>
      <c r="C8" s="13">
        <v>140</v>
      </c>
      <c r="D8" s="23" t="str">
        <f>IF(ISNA(VLOOKUP(A8,Orders!$B$1:$B$8,1,0)),"No","Yes")</f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AFE1-2D8E-4771-AFF7-71E240932ADF}">
  <dimension ref="A1:K25"/>
  <sheetViews>
    <sheetView tabSelected="1" topLeftCell="A2" workbookViewId="0">
      <selection activeCell="K20" sqref="K20"/>
    </sheetView>
  </sheetViews>
  <sheetFormatPr defaultRowHeight="14.4" x14ac:dyDescent="0.3"/>
  <cols>
    <col min="1" max="1" width="7.5546875" bestFit="1" customWidth="1"/>
    <col min="2" max="2" width="9.44140625" bestFit="1" customWidth="1"/>
    <col min="3" max="3" width="8.33203125" bestFit="1" customWidth="1"/>
    <col min="4" max="4" width="13.21875" bestFit="1" customWidth="1"/>
    <col min="5" max="5" width="5.109375" bestFit="1" customWidth="1"/>
    <col min="6" max="6" width="12.6640625" bestFit="1" customWidth="1"/>
    <col min="7" max="7" width="15.21875" bestFit="1" customWidth="1"/>
    <col min="8" max="8" width="15.109375" bestFit="1" customWidth="1"/>
    <col min="11" max="11" width="130.21875" bestFit="1" customWidth="1"/>
  </cols>
  <sheetData>
    <row r="1" spans="1:11" x14ac:dyDescent="0.3">
      <c r="A1" s="8" t="s">
        <v>11</v>
      </c>
      <c r="B1" s="8" t="s">
        <v>7</v>
      </c>
      <c r="C1" s="8" t="s">
        <v>9</v>
      </c>
      <c r="D1" s="9" t="s">
        <v>12</v>
      </c>
      <c r="E1" s="10" t="s">
        <v>0</v>
      </c>
      <c r="F1" s="10" t="s">
        <v>10</v>
      </c>
      <c r="G1" s="11" t="s">
        <v>13</v>
      </c>
      <c r="H1" s="12" t="s">
        <v>21</v>
      </c>
    </row>
    <row r="2" spans="1:11" x14ac:dyDescent="0.3">
      <c r="A2" s="13">
        <v>1</v>
      </c>
      <c r="B2" s="13">
        <v>101</v>
      </c>
      <c r="C2" s="13">
        <v>2</v>
      </c>
      <c r="D2" s="14" t="str">
        <f>VLOOKUP(B2,Products!$A$1:$C$8,2,0)</f>
        <v>Product A</v>
      </c>
      <c r="E2" s="15">
        <f>VLOOKUP(B2,Products!$A$1:$C$8,3,0)</f>
        <v>120</v>
      </c>
      <c r="F2" s="15">
        <f t="shared" ref="F2:F9" si="0">C2*E2</f>
        <v>240</v>
      </c>
      <c r="G2" s="16" t="str">
        <f>IF(ISNA(VLOOKUP(B2,Products!$A$1:$C$8,1,0)),"Not Valid","Valid")</f>
        <v>Valid</v>
      </c>
      <c r="H2" s="17">
        <f>VLOOKUP(B2,Products!$A$1:$C$8,3,0)*(1-10%)</f>
        <v>108</v>
      </c>
    </row>
    <row r="3" spans="1:11" x14ac:dyDescent="0.3">
      <c r="A3" s="13">
        <v>2</v>
      </c>
      <c r="B3" s="13">
        <v>103</v>
      </c>
      <c r="C3" s="13">
        <v>1</v>
      </c>
      <c r="D3" s="14" t="str">
        <f>VLOOKUP(B3,Products!$A$1:$C$8,2,0)</f>
        <v>Product C</v>
      </c>
      <c r="E3" s="15">
        <f>VLOOKUP(B3,Products!$A$1:$C$8,3,0)</f>
        <v>200</v>
      </c>
      <c r="F3" s="15">
        <f t="shared" si="0"/>
        <v>200</v>
      </c>
      <c r="G3" s="16" t="str">
        <f>IF(ISNA(VLOOKUP(B3,Products!$A$1:$C$8,1,0)),"Not Valid","Valid")</f>
        <v>Valid</v>
      </c>
      <c r="H3" s="17">
        <f>VLOOKUP(B3,Products!$A$1:$C$8,3,0)*(1-10%)</f>
        <v>180</v>
      </c>
      <c r="K3" s="1" t="s">
        <v>14</v>
      </c>
    </row>
    <row r="4" spans="1:11" x14ac:dyDescent="0.3">
      <c r="A4" s="13">
        <v>3</v>
      </c>
      <c r="B4" s="13">
        <v>105</v>
      </c>
      <c r="C4" s="13">
        <v>4</v>
      </c>
      <c r="D4" s="14" t="str">
        <f>VLOOKUP(B4,Products!$A$1:$C$8,2,0)</f>
        <v>Product E</v>
      </c>
      <c r="E4" s="15">
        <f>VLOOKUP(B4,Products!$A$1:$C$8,3,0)</f>
        <v>220</v>
      </c>
      <c r="F4" s="15">
        <f t="shared" si="0"/>
        <v>880</v>
      </c>
      <c r="G4" s="16" t="str">
        <f>IF(ISNA(VLOOKUP(B4,Products!$A$1:$C$8,1,0)),"Not Valid","Valid")</f>
        <v>Valid</v>
      </c>
      <c r="H4" s="17">
        <f>VLOOKUP(B4,Products!$A$1:$C$8,3,0)*(1-10%)</f>
        <v>198</v>
      </c>
      <c r="K4" s="2" t="s">
        <v>15</v>
      </c>
    </row>
    <row r="5" spans="1:11" x14ac:dyDescent="0.3">
      <c r="A5" s="13">
        <v>4</v>
      </c>
      <c r="B5" s="13">
        <v>106</v>
      </c>
      <c r="C5" s="13">
        <v>3</v>
      </c>
      <c r="D5" s="14" t="str">
        <f>VLOOKUP(B5,Products!$A$1:$C$8,2,0)</f>
        <v>Product F</v>
      </c>
      <c r="E5" s="15">
        <f>VLOOKUP(B5,Products!$A$1:$C$8,3,0)</f>
        <v>130</v>
      </c>
      <c r="F5" s="15">
        <f t="shared" si="0"/>
        <v>390</v>
      </c>
      <c r="G5" s="16" t="str">
        <f>IF(ISNA(VLOOKUP(B5,Products!$A$1:$C$8,1,0)),"Not Valid","Valid")</f>
        <v>Valid</v>
      </c>
      <c r="H5" s="17">
        <f>VLOOKUP(B5,Products!$A$1:$C$8,3,0)*(1-10%)</f>
        <v>117</v>
      </c>
      <c r="K5" s="3" t="s">
        <v>16</v>
      </c>
    </row>
    <row r="6" spans="1:11" x14ac:dyDescent="0.3">
      <c r="A6" s="13">
        <v>5</v>
      </c>
      <c r="B6" s="13">
        <v>102</v>
      </c>
      <c r="C6" s="13">
        <v>5</v>
      </c>
      <c r="D6" s="14" t="str">
        <f>VLOOKUP(B6,Products!$A$1:$C$8,2,0)</f>
        <v>Product B</v>
      </c>
      <c r="E6" s="15">
        <f>VLOOKUP(B6,Products!$A$1:$C$8,3,0)</f>
        <v>150</v>
      </c>
      <c r="F6" s="15">
        <f t="shared" si="0"/>
        <v>750</v>
      </c>
      <c r="G6" s="16" t="str">
        <f>IF(ISNA(VLOOKUP(B6,Products!$A$1:$C$8,1,0)),"Not Valid","Valid")</f>
        <v>Valid</v>
      </c>
      <c r="H6" s="17">
        <f>VLOOKUP(B6,Products!$A$1:$C$8,3,0)*(1-10%)</f>
        <v>135</v>
      </c>
      <c r="K6" s="5" t="s">
        <v>17</v>
      </c>
    </row>
    <row r="7" spans="1:11" x14ac:dyDescent="0.3">
      <c r="A7" s="13">
        <v>6</v>
      </c>
      <c r="B7" s="13">
        <v>104</v>
      </c>
      <c r="C7" s="13">
        <v>6</v>
      </c>
      <c r="D7" s="14" t="str">
        <f>VLOOKUP(B7,Products!$A$1:$C$8,2,0)</f>
        <v>Product D</v>
      </c>
      <c r="E7" s="15">
        <f>VLOOKUP(B7,Products!$A$1:$C$8,3,0)</f>
        <v>90</v>
      </c>
      <c r="F7" s="15">
        <f t="shared" si="0"/>
        <v>540</v>
      </c>
      <c r="G7" s="16" t="str">
        <f>IF(ISNA(VLOOKUP(B7,Products!$A$1:$C$8,1,0)),"Not Valid","Valid")</f>
        <v>Valid</v>
      </c>
      <c r="H7" s="17">
        <f>VLOOKUP(B7,Products!$A$1:$C$8,3,0)*(1-10%)</f>
        <v>81</v>
      </c>
      <c r="K7" s="7" t="s">
        <v>18</v>
      </c>
    </row>
    <row r="8" spans="1:11" x14ac:dyDescent="0.3">
      <c r="A8" s="13">
        <v>7</v>
      </c>
      <c r="B8" s="13">
        <v>101</v>
      </c>
      <c r="C8" s="13">
        <v>6</v>
      </c>
      <c r="D8" s="14" t="str">
        <f>VLOOKUP(B8,Products!$A$1:$C$8,2,0)</f>
        <v>Product A</v>
      </c>
      <c r="E8" s="15">
        <f>VLOOKUP(B8,Products!$A$1:$C$8,3,0)</f>
        <v>120</v>
      </c>
      <c r="F8" s="15">
        <f t="shared" si="0"/>
        <v>720</v>
      </c>
      <c r="G8" s="16" t="str">
        <f>IF(ISNA(VLOOKUP(B8,Products!$A$1:$C$8,1,0)),"Not Valid","Valid")</f>
        <v>Valid</v>
      </c>
      <c r="H8" s="17">
        <f>VLOOKUP(B8,Products!$A$1:$C$8,3,0)*(1-10%)</f>
        <v>108</v>
      </c>
      <c r="K8" s="6" t="s">
        <v>19</v>
      </c>
    </row>
    <row r="9" spans="1:11" x14ac:dyDescent="0.3">
      <c r="A9" s="13">
        <v>8</v>
      </c>
      <c r="B9" s="13">
        <v>105</v>
      </c>
      <c r="C9" s="13">
        <v>3</v>
      </c>
      <c r="D9" s="14" t="str">
        <f>VLOOKUP(B9,Products!$A$1:$C$8,2,0)</f>
        <v>Product E</v>
      </c>
      <c r="E9" s="15">
        <f>VLOOKUP(B9,Products!$A$1:$C$8,3,0)</f>
        <v>220</v>
      </c>
      <c r="F9" s="15">
        <f t="shared" si="0"/>
        <v>660</v>
      </c>
      <c r="G9" s="16" t="str">
        <f>IF(ISNA(VLOOKUP(B9,Products!$A$1:$C$8,1,0)),"Not Valid","Valid")</f>
        <v>Valid</v>
      </c>
      <c r="H9" s="17">
        <f>VLOOKUP(B9,Products!$A$1:$C$8,3,0)*(1-10%)</f>
        <v>198</v>
      </c>
      <c r="K9" s="4" t="s">
        <v>20</v>
      </c>
    </row>
    <row r="16" spans="1:11" x14ac:dyDescent="0.3">
      <c r="F16" s="8" t="s">
        <v>8</v>
      </c>
      <c r="G16" s="18" t="s">
        <v>24</v>
      </c>
      <c r="H16" s="19" t="s">
        <v>26</v>
      </c>
    </row>
    <row r="17" spans="6:8" x14ac:dyDescent="0.3">
      <c r="F17" s="13" t="s">
        <v>1</v>
      </c>
      <c r="G17" s="20">
        <f>SUMIF($D$2:$D$9,F17,$C$2:$C$9)</f>
        <v>8</v>
      </c>
      <c r="H17" s="21">
        <f>SUMIF($D$2:$D$9,F17,$F$2:$F$9)</f>
        <v>960</v>
      </c>
    </row>
    <row r="18" spans="6:8" x14ac:dyDescent="0.3">
      <c r="F18" s="13" t="s">
        <v>3</v>
      </c>
      <c r="G18" s="20">
        <f t="shared" ref="G18:G22" si="1">SUMIF($D$2:$D$9,F18,$C$2:$C$9)</f>
        <v>1</v>
      </c>
      <c r="H18" s="21">
        <f t="shared" ref="H18:H22" si="2">SUMIF($D$2:$D$9,F18,$F$2:$F$9)</f>
        <v>200</v>
      </c>
    </row>
    <row r="19" spans="6:8" x14ac:dyDescent="0.3">
      <c r="F19" s="13" t="s">
        <v>5</v>
      </c>
      <c r="G19" s="20">
        <f t="shared" si="1"/>
        <v>7</v>
      </c>
      <c r="H19" s="21">
        <f t="shared" si="2"/>
        <v>1540</v>
      </c>
    </row>
    <row r="20" spans="6:8" x14ac:dyDescent="0.3">
      <c r="F20" s="13" t="s">
        <v>6</v>
      </c>
      <c r="G20" s="20">
        <f t="shared" si="1"/>
        <v>3</v>
      </c>
      <c r="H20" s="21">
        <f t="shared" si="2"/>
        <v>390</v>
      </c>
    </row>
    <row r="21" spans="6:8" x14ac:dyDescent="0.3">
      <c r="F21" s="13" t="s">
        <v>2</v>
      </c>
      <c r="G21" s="20">
        <f t="shared" si="1"/>
        <v>5</v>
      </c>
      <c r="H21" s="21">
        <f t="shared" si="2"/>
        <v>750</v>
      </c>
    </row>
    <row r="22" spans="6:8" x14ac:dyDescent="0.3">
      <c r="F22" s="13" t="s">
        <v>4</v>
      </c>
      <c r="G22" s="20">
        <f t="shared" si="1"/>
        <v>6</v>
      </c>
      <c r="H22" s="21">
        <f t="shared" si="2"/>
        <v>540</v>
      </c>
    </row>
    <row r="25" spans="6:8" x14ac:dyDescent="0.3">
      <c r="G25" s="8" t="s">
        <v>25</v>
      </c>
      <c r="H25" s="13">
        <f>MAX(H17:H22)</f>
        <v>1540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2026-10-07T18:17:48Z</dcterms:created>
  <dcterms:modified xsi:type="dcterms:W3CDTF">2026-10-09T07:57:30Z</dcterms:modified>
</cp:coreProperties>
</file>